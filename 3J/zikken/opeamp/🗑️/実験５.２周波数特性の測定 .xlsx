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user1/Desktop/3j/zikken/opeamp/"/>
    </mc:Choice>
  </mc:AlternateContent>
  <xr:revisionPtr revIDLastSave="0" documentId="13_ncr:1_{F13B7A79-7ED6-4347-A81B-BFB4C4D7DFD9}" xr6:coauthVersionLast="47" xr6:coauthVersionMax="47" xr10:uidLastSave="{00000000-0000-0000-0000-000000000000}"/>
  <bookViews>
    <workbookView xWindow="4340" yWindow="500" windowWidth="22780" windowHeight="14540" xr2:uid="{2393ED04-D1A2-463E-B5AA-044820BEEEC2}"/>
  </bookViews>
  <sheets>
    <sheet name="Sheet1" sheetId="1" r:id="rId1"/>
  </sheets>
  <externalReferences>
    <externalReference r:id="rId2"/>
  </externalReferenc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</calcChain>
</file>

<file path=xl/sharedStrings.xml><?xml version="1.0" encoding="utf-8"?>
<sst xmlns="http://schemas.openxmlformats.org/spreadsheetml/2006/main" count="12" uniqueCount="10">
  <si>
    <t>20dB</t>
    <phoneticPr fontId="1"/>
  </si>
  <si>
    <t>周波数(kHz)</t>
    <rPh sb="0" eb="3">
      <t>シュウハスウ</t>
    </rPh>
    <phoneticPr fontId="1"/>
  </si>
  <si>
    <t>vi(mV)</t>
    <phoneticPr fontId="1"/>
  </si>
  <si>
    <t>vo(V)</t>
    <phoneticPr fontId="1"/>
  </si>
  <si>
    <t>利得</t>
    <rPh sb="0" eb="2">
      <t>リトク</t>
    </rPh>
    <phoneticPr fontId="1"/>
  </si>
  <si>
    <t>40dB</t>
    <phoneticPr fontId="1"/>
  </si>
  <si>
    <t>周波数(kHz)</t>
  </si>
  <si>
    <t>dB値</t>
    <phoneticPr fontId="1"/>
  </si>
  <si>
    <t>RC4558</t>
    <phoneticPr fontId="1"/>
  </si>
  <si>
    <r>
      <t>v</t>
    </r>
    <r>
      <rPr>
        <sz val="9"/>
        <color theme="1"/>
        <rFont val="游ゴシック"/>
        <family val="3"/>
        <charset val="128"/>
      </rPr>
      <t>o</t>
    </r>
    <r>
      <rPr>
        <sz val="11"/>
        <color theme="1"/>
        <rFont val="游ゴシック"/>
        <family val="2"/>
        <charset val="128"/>
        <scheme val="minor"/>
      </rPr>
      <t>(V)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</si>
</sst>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20dB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Sheet1!$B$3:$B$23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50</c:v>
                </c:pt>
                <c:pt idx="9">
                  <c:v>70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500</c:v>
                </c:pt>
                <c:pt idx="14">
                  <c:v>700</c:v>
                </c:pt>
                <c:pt idx="15">
                  <c:v>1000</c:v>
                </c:pt>
                <c:pt idx="16">
                  <c:v>2000</c:v>
                </c:pt>
                <c:pt idx="17">
                  <c:v>3000</c:v>
                </c:pt>
                <c:pt idx="18">
                  <c:v>5000</c:v>
                </c:pt>
                <c:pt idx="19">
                  <c:v>7000</c:v>
                </c:pt>
                <c:pt idx="20">
                  <c:v>10000</c:v>
                </c:pt>
              </c:numCache>
            </c:numRef>
          </c:cat>
          <c:val>
            <c:numRef>
              <c:f>Sheet1!$F$3:$F$23</c:f>
              <c:numCache>
                <c:formatCode>General</c:formatCode>
                <c:ptCount val="21"/>
                <c:pt idx="0">
                  <c:v>19.517326405665614</c:v>
                </c:pt>
                <c:pt idx="1">
                  <c:v>19.921394127431352</c:v>
                </c:pt>
                <c:pt idx="2">
                  <c:v>19.921394127431352</c:v>
                </c:pt>
                <c:pt idx="3">
                  <c:v>19.921394127431352</c:v>
                </c:pt>
                <c:pt idx="4">
                  <c:v>19.921394127431352</c:v>
                </c:pt>
                <c:pt idx="5">
                  <c:v>19.921394127431352</c:v>
                </c:pt>
                <c:pt idx="6">
                  <c:v>19.921394127431352</c:v>
                </c:pt>
                <c:pt idx="7">
                  <c:v>19.843493249760868</c:v>
                </c:pt>
                <c:pt idx="8">
                  <c:v>19.843493249760868</c:v>
                </c:pt>
                <c:pt idx="9">
                  <c:v>19.766284833496105</c:v>
                </c:pt>
                <c:pt idx="10">
                  <c:v>19.766284833496105</c:v>
                </c:pt>
                <c:pt idx="11">
                  <c:v>19.444548435627009</c:v>
                </c:pt>
                <c:pt idx="12">
                  <c:v>18.042730819692419</c:v>
                </c:pt>
                <c:pt idx="13">
                  <c:v>13.979400086720375</c:v>
                </c:pt>
                <c:pt idx="14">
                  <c:v>10.487474727345775</c:v>
                </c:pt>
                <c:pt idx="15">
                  <c:v>6.5998738319859553</c:v>
                </c:pt>
                <c:pt idx="16">
                  <c:v>0.29446513641412575</c:v>
                </c:pt>
                <c:pt idx="17">
                  <c:v>-4.1425098559130014</c:v>
                </c:pt>
                <c:pt idx="18">
                  <c:v>-10.256736139723939</c:v>
                </c:pt>
                <c:pt idx="19">
                  <c:v>-14.135906836959508</c:v>
                </c:pt>
                <c:pt idx="20">
                  <c:v>-18.96825931557202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2-4824-B72F-5D6B34CBAB48}"/>
            </c:ext>
          </c:extLst>
        </c:ser>
        <c:ser>
          <c:idx val="1"/>
          <c:order val="1"/>
          <c:tx>
            <c:v>40dB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Sheet1!$M$3:$M$23</c:f>
              <c:numCache>
                <c:formatCode>General</c:formatCode>
                <c:ptCount val="21"/>
                <c:pt idx="0">
                  <c:v>39.92209912232952</c:v>
                </c:pt>
                <c:pt idx="1">
                  <c:v>40</c:v>
                </c:pt>
                <c:pt idx="2">
                  <c:v>39.921394127431348</c:v>
                </c:pt>
                <c:pt idx="3">
                  <c:v>39.842070383079324</c:v>
                </c:pt>
                <c:pt idx="4">
                  <c:v>39.762015534005847</c:v>
                </c:pt>
                <c:pt idx="5">
                  <c:v>39.599657729562253</c:v>
                </c:pt>
                <c:pt idx="6">
                  <c:v>38.91806193811675</c:v>
                </c:pt>
                <c:pt idx="7">
                  <c:v>37.551871998141905</c:v>
                </c:pt>
                <c:pt idx="8">
                  <c:v>34.55867400542671</c:v>
                </c:pt>
                <c:pt idx="9">
                  <c:v>31.891439398708247</c:v>
                </c:pt>
                <c:pt idx="10">
                  <c:v>29.006561562634516</c:v>
                </c:pt>
                <c:pt idx="11">
                  <c:v>23.245261192642243</c:v>
                </c:pt>
                <c:pt idx="12">
                  <c:v>18.976949551052375</c:v>
                </c:pt>
                <c:pt idx="13">
                  <c:v>13.904842636335511</c:v>
                </c:pt>
                <c:pt idx="14">
                  <c:v>10.306512147797832</c:v>
                </c:pt>
                <c:pt idx="15">
                  <c:v>6.6696403889023816</c:v>
                </c:pt>
                <c:pt idx="16">
                  <c:v>-0.46130608137386869</c:v>
                </c:pt>
                <c:pt idx="17">
                  <c:v>-4.3119960067870968</c:v>
                </c:pt>
                <c:pt idx="18">
                  <c:v>-9.020369043109147</c:v>
                </c:pt>
                <c:pt idx="19">
                  <c:v>-14.135906836959508</c:v>
                </c:pt>
                <c:pt idx="20">
                  <c:v>-19.244228782212002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F-4705-8E69-925EECF9B516}"/>
            </c:ext>
          </c:extLst>
        </c:ser>
        <c:ser>
          <c:idx val="2"/>
          <c:order val="2"/>
          <c:tx>
            <c:v>RC4558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Sheet1!$P$3:$P$22</c:f>
              <c:numCache>
                <c:formatCode>General</c:formatCode>
                <c:ptCount val="20"/>
                <c:pt idx="0">
                  <c:v>76</c:v>
                </c:pt>
                <c:pt idx="1">
                  <c:v>70</c:v>
                </c:pt>
                <c:pt idx="2">
                  <c:v>65</c:v>
                </c:pt>
                <c:pt idx="3">
                  <c:v>61</c:v>
                </c:pt>
                <c:pt idx="4">
                  <c:v>58</c:v>
                </c:pt>
                <c:pt idx="5">
                  <c:v>55</c:v>
                </c:pt>
                <c:pt idx="6">
                  <c:v>50</c:v>
                </c:pt>
                <c:pt idx="7">
                  <c:v>46</c:v>
                </c:pt>
                <c:pt idx="8">
                  <c:v>40</c:v>
                </c:pt>
                <c:pt idx="9">
                  <c:v>39</c:v>
                </c:pt>
                <c:pt idx="10">
                  <c:v>35</c:v>
                </c:pt>
                <c:pt idx="11">
                  <c:v>29</c:v>
                </c:pt>
                <c:pt idx="12">
                  <c:v>25</c:v>
                </c:pt>
                <c:pt idx="13">
                  <c:v>20</c:v>
                </c:pt>
                <c:pt idx="14">
                  <c:v>17</c:v>
                </c:pt>
                <c:pt idx="15">
                  <c:v>14</c:v>
                </c:pt>
                <c:pt idx="16">
                  <c:v>7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851-49AF-9077-3ADA3A91E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4045120"/>
        <c:axId val="1074045600"/>
      </c:lineChart>
      <c:catAx>
        <c:axId val="1074045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周波数</a:t>
                </a:r>
                <a:r>
                  <a:rPr lang="en-US" altLang="ja-JP"/>
                  <a:t>f(Hz)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4045600"/>
        <c:crosses val="autoZero"/>
        <c:auto val="1"/>
        <c:lblAlgn val="ctr"/>
        <c:lblOffset val="100"/>
        <c:noMultiLvlLbl val="0"/>
      </c:catAx>
      <c:valAx>
        <c:axId val="1074045600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利得</a:t>
                </a:r>
                <a:r>
                  <a:rPr lang="en-US" altLang="ja-JP" b="0"/>
                  <a:t>Gv(dB)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40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277755905511809"/>
          <c:y val="0.89409667541557303"/>
          <c:w val="0.4612340332458442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[1]Sheet1!$C$3</c:f>
              <c:strCache>
                <c:ptCount val="1"/>
                <c:pt idx="0">
                  <c:v>dB値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[1]Sheet1!$B$4:$B$24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50</c:v>
                </c:pt>
                <c:pt idx="9">
                  <c:v>70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500</c:v>
                </c:pt>
                <c:pt idx="14">
                  <c:v>700</c:v>
                </c:pt>
                <c:pt idx="15">
                  <c:v>1000</c:v>
                </c:pt>
                <c:pt idx="16">
                  <c:v>2000</c:v>
                </c:pt>
                <c:pt idx="17">
                  <c:v>3000</c:v>
                </c:pt>
                <c:pt idx="18">
                  <c:v>5000</c:v>
                </c:pt>
                <c:pt idx="19">
                  <c:v>7000</c:v>
                </c:pt>
                <c:pt idx="20">
                  <c:v>10000</c:v>
                </c:pt>
              </c:numCache>
            </c:numRef>
          </c:cat>
          <c:val>
            <c:numRef>
              <c:f>[1]Sheet1!$C$4:$C$24</c:f>
              <c:numCache>
                <c:formatCode>General</c:formatCode>
                <c:ptCount val="21"/>
                <c:pt idx="0">
                  <c:v>76</c:v>
                </c:pt>
                <c:pt idx="1">
                  <c:v>70</c:v>
                </c:pt>
                <c:pt idx="2">
                  <c:v>65</c:v>
                </c:pt>
                <c:pt idx="3">
                  <c:v>61</c:v>
                </c:pt>
                <c:pt idx="4">
                  <c:v>58</c:v>
                </c:pt>
                <c:pt idx="5">
                  <c:v>55</c:v>
                </c:pt>
                <c:pt idx="6">
                  <c:v>50</c:v>
                </c:pt>
                <c:pt idx="7">
                  <c:v>46</c:v>
                </c:pt>
                <c:pt idx="8">
                  <c:v>40</c:v>
                </c:pt>
                <c:pt idx="9">
                  <c:v>39</c:v>
                </c:pt>
                <c:pt idx="10">
                  <c:v>35</c:v>
                </c:pt>
                <c:pt idx="11">
                  <c:v>29</c:v>
                </c:pt>
                <c:pt idx="12">
                  <c:v>25</c:v>
                </c:pt>
                <c:pt idx="13">
                  <c:v>20</c:v>
                </c:pt>
                <c:pt idx="14">
                  <c:v>17</c:v>
                </c:pt>
                <c:pt idx="15">
                  <c:v>14</c:v>
                </c:pt>
                <c:pt idx="16">
                  <c:v>7</c:v>
                </c:pt>
                <c:pt idx="17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D0-41F3-9FCB-60406B57C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871071"/>
        <c:axId val="1863863391"/>
      </c:lineChart>
      <c:catAx>
        <c:axId val="186387107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3863391"/>
        <c:crosses val="autoZero"/>
        <c:auto val="1"/>
        <c:lblAlgn val="ctr"/>
        <c:lblOffset val="100"/>
        <c:noMultiLvlLbl val="0"/>
      </c:catAx>
      <c:valAx>
        <c:axId val="1863863391"/>
        <c:scaling>
          <c:orientation val="minMax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387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400050</xdr:colOff>
      <xdr:row>11</xdr:row>
      <xdr:rowOff>161925</xdr:rowOff>
    </xdr:from>
    <xdr:ext cx="65" cy="17222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3115A8F-0D74-6A87-C695-EC15EB4D0C68}"/>
            </a:ext>
          </a:extLst>
        </xdr:cNvPr>
        <xdr:cNvSpPr txBox="1"/>
      </xdr:nvSpPr>
      <xdr:spPr>
        <a:xfrm>
          <a:off x="6477000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18</xdr:col>
      <xdr:colOff>128815</xdr:colOff>
      <xdr:row>1</xdr:row>
      <xdr:rowOff>81643</xdr:rowOff>
    </xdr:from>
    <xdr:to>
      <xdr:col>25</xdr:col>
      <xdr:colOff>27215</xdr:colOff>
      <xdr:row>13</xdr:row>
      <xdr:rowOff>81644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FAE2392-A5CE-E691-7143-56ACB927CE12}"/>
            </a:ext>
            <a:ext uri="{147F2762-F138-4A5C-976F-8EAC2B608ADB}">
              <a16:predDERef xmlns:a16="http://schemas.microsoft.com/office/drawing/2014/main" pred="{D3115A8F-0D74-6A87-C695-EC15EB4D0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298450</xdr:colOff>
      <xdr:row>13</xdr:row>
      <xdr:rowOff>101600</xdr:rowOff>
    </xdr:from>
    <xdr:to>
      <xdr:col>27</xdr:col>
      <xdr:colOff>245888</xdr:colOff>
      <xdr:row>25</xdr:row>
      <xdr:rowOff>74439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BE90E07-9AF9-41C8-B454-FEDAF57BD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osenjp-my.sharepoint.com/personal/22054_yonago_kosen-ac_jp/Documents/&#12487;&#12473;&#12463;&#12488;&#12483;&#12503;/RC4558&#12487;&#12540;&#12479;&#12471;&#12540;&#12488;&#12363;&#12425;&#24471;&#12383;&#21608;&#27874;&#25968;&#29305;&#24615;&#20516;%201.xlsx" TargetMode="External"/><Relationship Id="rId1" Type="http://schemas.openxmlformats.org/officeDocument/2006/relationships/externalLinkPath" Target="https://kosenjp-my.sharepoint.com/personal/22054_yonago_kosen-ac_jp/Documents/&#12487;&#12473;&#12463;&#12488;&#12483;&#12503;/RC4558&#12487;&#12540;&#12479;&#12471;&#12540;&#12488;&#12363;&#12425;&#24471;&#12383;&#21608;&#27874;&#25968;&#29305;&#24615;&#20516;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3">
          <cell r="B3" t="str">
            <v>周波数(kHz)</v>
          </cell>
          <cell r="C3" t="str">
            <v>dB値</v>
          </cell>
        </row>
        <row r="4">
          <cell r="B4">
            <v>1</v>
          </cell>
          <cell r="C4">
            <v>76</v>
          </cell>
        </row>
        <row r="5">
          <cell r="B5">
            <v>2</v>
          </cell>
          <cell r="C5">
            <v>70</v>
          </cell>
        </row>
        <row r="6">
          <cell r="B6">
            <v>3</v>
          </cell>
          <cell r="C6">
            <v>65</v>
          </cell>
        </row>
        <row r="7">
          <cell r="B7">
            <v>5</v>
          </cell>
          <cell r="C7">
            <v>61</v>
          </cell>
        </row>
        <row r="8">
          <cell r="B8">
            <v>7</v>
          </cell>
          <cell r="C8">
            <v>58</v>
          </cell>
        </row>
        <row r="9">
          <cell r="B9">
            <v>10</v>
          </cell>
          <cell r="C9">
            <v>55</v>
          </cell>
        </row>
        <row r="10">
          <cell r="B10">
            <v>20</v>
          </cell>
          <cell r="C10">
            <v>50</v>
          </cell>
        </row>
        <row r="11">
          <cell r="B11">
            <v>30</v>
          </cell>
          <cell r="C11">
            <v>46</v>
          </cell>
        </row>
        <row r="12">
          <cell r="B12">
            <v>50</v>
          </cell>
          <cell r="C12">
            <v>40</v>
          </cell>
        </row>
        <row r="13">
          <cell r="B13">
            <v>70</v>
          </cell>
          <cell r="C13">
            <v>39</v>
          </cell>
        </row>
        <row r="14">
          <cell r="B14">
            <v>100</v>
          </cell>
          <cell r="C14">
            <v>35</v>
          </cell>
        </row>
        <row r="15">
          <cell r="B15">
            <v>200</v>
          </cell>
          <cell r="C15">
            <v>29</v>
          </cell>
        </row>
        <row r="16">
          <cell r="B16">
            <v>300</v>
          </cell>
          <cell r="C16">
            <v>25</v>
          </cell>
        </row>
        <row r="17">
          <cell r="B17">
            <v>500</v>
          </cell>
          <cell r="C17">
            <v>20</v>
          </cell>
        </row>
        <row r="18">
          <cell r="B18">
            <v>700</v>
          </cell>
          <cell r="C18">
            <v>17</v>
          </cell>
        </row>
        <row r="19">
          <cell r="B19">
            <v>1000</v>
          </cell>
          <cell r="C19">
            <v>14</v>
          </cell>
        </row>
        <row r="20">
          <cell r="B20">
            <v>2000</v>
          </cell>
          <cell r="C20">
            <v>7</v>
          </cell>
        </row>
        <row r="21">
          <cell r="B21">
            <v>3000</v>
          </cell>
          <cell r="C21">
            <v>2</v>
          </cell>
        </row>
        <row r="22">
          <cell r="B22">
            <v>5000</v>
          </cell>
        </row>
        <row r="23">
          <cell r="B23">
            <v>7000</v>
          </cell>
        </row>
        <row r="24">
          <cell r="B24">
            <v>10000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EFD7-458A-4C1F-AE14-6AD066184AAF}">
  <dimension ref="B1:Q23"/>
  <sheetViews>
    <sheetView tabSelected="1" zoomScale="150" zoomScaleNormal="157" workbookViewId="0">
      <selection activeCell="H4" sqref="H4"/>
    </sheetView>
  </sheetViews>
  <sheetFormatPr baseColWidth="10" defaultColWidth="8.83203125" defaultRowHeight="18"/>
  <cols>
    <col min="2" max="2" width="12.6640625" customWidth="1"/>
    <col min="7" max="7" width="15" customWidth="1"/>
  </cols>
  <sheetData>
    <row r="1" spans="2:17">
      <c r="D1" t="s">
        <v>0</v>
      </c>
      <c r="K1" t="s">
        <v>5</v>
      </c>
      <c r="O1" s="6" t="s">
        <v>8</v>
      </c>
      <c r="Q1" s="6"/>
    </row>
    <row r="2" spans="2:17">
      <c r="B2" s="1" t="s">
        <v>1</v>
      </c>
      <c r="D2" s="1" t="s">
        <v>2</v>
      </c>
      <c r="E2" s="1" t="s">
        <v>3</v>
      </c>
      <c r="F2" s="1" t="s">
        <v>4</v>
      </c>
      <c r="K2" s="1" t="s">
        <v>2</v>
      </c>
      <c r="L2" s="1" t="s">
        <v>9</v>
      </c>
      <c r="M2" s="4" t="s">
        <v>4</v>
      </c>
      <c r="N2" s="3"/>
      <c r="O2" s="5" t="s">
        <v>6</v>
      </c>
      <c r="P2" s="1" t="s">
        <v>7</v>
      </c>
    </row>
    <row r="3" spans="2:17">
      <c r="B3" s="1">
        <v>1</v>
      </c>
      <c r="D3" s="2">
        <v>222</v>
      </c>
      <c r="E3" s="1">
        <v>2.1</v>
      </c>
      <c r="F3" s="1">
        <f>20*LOG10(E3/(D3/1000))</f>
        <v>19.517326405665614</v>
      </c>
      <c r="K3" s="2">
        <v>224</v>
      </c>
      <c r="L3" s="1">
        <v>22.2</v>
      </c>
      <c r="M3" s="1">
        <f>20*LOG10(L3/(K3/1000))</f>
        <v>39.92209912232952</v>
      </c>
      <c r="O3" s="1">
        <v>1</v>
      </c>
      <c r="P3" s="1">
        <v>76</v>
      </c>
    </row>
    <row r="4" spans="2:17">
      <c r="B4" s="1">
        <v>2</v>
      </c>
      <c r="D4" s="2">
        <v>222</v>
      </c>
      <c r="E4" s="1">
        <v>2.2000000000000002</v>
      </c>
      <c r="F4" s="1">
        <f t="shared" ref="F4:F23" si="0">20*LOG10(E4/(D4/1000))</f>
        <v>19.921394127431352</v>
      </c>
      <c r="K4" s="2">
        <v>222</v>
      </c>
      <c r="L4" s="1">
        <v>22.2</v>
      </c>
      <c r="M4" s="1">
        <f t="shared" ref="M4:M23" si="1">20*LOG10(L4/(K4/1000))</f>
        <v>40</v>
      </c>
      <c r="O4" s="1">
        <v>2</v>
      </c>
      <c r="P4" s="1">
        <v>70</v>
      </c>
    </row>
    <row r="5" spans="2:17">
      <c r="B5" s="1">
        <v>3</v>
      </c>
      <c r="D5" s="2">
        <v>222</v>
      </c>
      <c r="E5" s="1">
        <v>2.2000000000000002</v>
      </c>
      <c r="F5" s="1">
        <f t="shared" si="0"/>
        <v>19.921394127431352</v>
      </c>
      <c r="K5" s="2">
        <v>222</v>
      </c>
      <c r="L5" s="1">
        <v>22</v>
      </c>
      <c r="M5" s="1">
        <f t="shared" si="1"/>
        <v>39.921394127431348</v>
      </c>
      <c r="O5" s="1">
        <v>3</v>
      </c>
      <c r="P5" s="1">
        <v>65</v>
      </c>
    </row>
    <row r="6" spans="2:17">
      <c r="B6" s="1">
        <v>5</v>
      </c>
      <c r="D6" s="2">
        <v>222</v>
      </c>
      <c r="E6" s="1">
        <v>2.2000000000000002</v>
      </c>
      <c r="F6" s="1">
        <f t="shared" si="0"/>
        <v>19.921394127431352</v>
      </c>
      <c r="K6" s="2">
        <v>222</v>
      </c>
      <c r="L6" s="1">
        <v>21.8</v>
      </c>
      <c r="M6" s="1">
        <f t="shared" si="1"/>
        <v>39.842070383079324</v>
      </c>
      <c r="O6" s="1">
        <v>5</v>
      </c>
      <c r="P6" s="1">
        <v>61</v>
      </c>
    </row>
    <row r="7" spans="2:17">
      <c r="B7" s="1">
        <v>7</v>
      </c>
      <c r="D7" s="2">
        <v>222</v>
      </c>
      <c r="E7" s="1">
        <v>2.2000000000000002</v>
      </c>
      <c r="F7" s="1">
        <f t="shared" si="0"/>
        <v>19.921394127431352</v>
      </c>
      <c r="K7" s="2">
        <v>222</v>
      </c>
      <c r="L7" s="1">
        <v>21.6</v>
      </c>
      <c r="M7" s="1">
        <f t="shared" si="1"/>
        <v>39.762015534005847</v>
      </c>
      <c r="O7" s="1">
        <v>7</v>
      </c>
      <c r="P7" s="1">
        <v>58</v>
      </c>
    </row>
    <row r="8" spans="2:17">
      <c r="B8" s="1">
        <v>10</v>
      </c>
      <c r="D8" s="2">
        <v>222</v>
      </c>
      <c r="E8" s="1">
        <v>2.2000000000000002</v>
      </c>
      <c r="F8" s="1">
        <f t="shared" si="0"/>
        <v>19.921394127431352</v>
      </c>
      <c r="K8" s="2">
        <v>222</v>
      </c>
      <c r="L8" s="1">
        <v>21.2</v>
      </c>
      <c r="M8" s="1">
        <f t="shared" si="1"/>
        <v>39.599657729562253</v>
      </c>
      <c r="O8" s="1">
        <v>10</v>
      </c>
      <c r="P8" s="1">
        <v>55</v>
      </c>
    </row>
    <row r="9" spans="2:17">
      <c r="B9" s="1">
        <v>20</v>
      </c>
      <c r="D9" s="2">
        <v>222</v>
      </c>
      <c r="E9" s="1">
        <v>2.2000000000000002</v>
      </c>
      <c r="F9" s="1">
        <f t="shared" si="0"/>
        <v>19.921394127431352</v>
      </c>
      <c r="K9" s="2">
        <v>222</v>
      </c>
      <c r="L9" s="1">
        <v>19.600000000000001</v>
      </c>
      <c r="M9" s="1">
        <f t="shared" si="1"/>
        <v>38.91806193811675</v>
      </c>
      <c r="O9" s="1">
        <v>20</v>
      </c>
      <c r="P9" s="1">
        <v>50</v>
      </c>
    </row>
    <row r="10" spans="2:17">
      <c r="B10" s="1">
        <v>30</v>
      </c>
      <c r="D10" s="2">
        <v>224</v>
      </c>
      <c r="E10" s="1">
        <v>2.2000000000000002</v>
      </c>
      <c r="F10" s="1">
        <f t="shared" si="0"/>
        <v>19.843493249760868</v>
      </c>
      <c r="K10" s="2">
        <v>228</v>
      </c>
      <c r="L10" s="1">
        <v>17.2</v>
      </c>
      <c r="M10" s="1">
        <f t="shared" si="1"/>
        <v>37.551871998141905</v>
      </c>
      <c r="O10" s="1">
        <v>30</v>
      </c>
      <c r="P10" s="1">
        <v>46</v>
      </c>
    </row>
    <row r="11" spans="2:17">
      <c r="B11" s="1">
        <v>50</v>
      </c>
      <c r="D11" s="2">
        <v>224</v>
      </c>
      <c r="E11" s="1">
        <v>2.2000000000000002</v>
      </c>
      <c r="F11" s="1">
        <f t="shared" si="0"/>
        <v>19.843493249760868</v>
      </c>
      <c r="K11" s="2">
        <v>232</v>
      </c>
      <c r="L11" s="1">
        <v>12.4</v>
      </c>
      <c r="M11" s="1">
        <f t="shared" si="1"/>
        <v>34.55867400542671</v>
      </c>
      <c r="O11" s="1">
        <v>50</v>
      </c>
      <c r="P11" s="1">
        <v>40</v>
      </c>
    </row>
    <row r="12" spans="2:17">
      <c r="B12" s="1">
        <v>70</v>
      </c>
      <c r="D12" s="2">
        <v>226</v>
      </c>
      <c r="E12" s="1">
        <v>2.2000000000000002</v>
      </c>
      <c r="F12" s="1">
        <f t="shared" si="0"/>
        <v>19.766284833496105</v>
      </c>
      <c r="K12" s="2">
        <v>234</v>
      </c>
      <c r="L12" s="1">
        <v>9.1999999999999993</v>
      </c>
      <c r="M12" s="1">
        <f t="shared" si="1"/>
        <v>31.891439398708247</v>
      </c>
      <c r="O12" s="1">
        <v>70</v>
      </c>
      <c r="P12" s="1">
        <v>39</v>
      </c>
    </row>
    <row r="13" spans="2:17">
      <c r="B13" s="1">
        <v>100</v>
      </c>
      <c r="D13" s="2">
        <v>226</v>
      </c>
      <c r="E13" s="1">
        <v>2.2000000000000002</v>
      </c>
      <c r="F13" s="1">
        <f t="shared" si="0"/>
        <v>19.766284833496105</v>
      </c>
      <c r="K13" s="2">
        <v>234</v>
      </c>
      <c r="L13" s="1">
        <v>6.6</v>
      </c>
      <c r="M13" s="1">
        <f t="shared" si="1"/>
        <v>29.006561562634516</v>
      </c>
      <c r="O13" s="1">
        <v>100</v>
      </c>
      <c r="P13" s="1">
        <v>35</v>
      </c>
    </row>
    <row r="14" spans="2:17">
      <c r="B14" s="1">
        <v>200</v>
      </c>
      <c r="D14" s="2">
        <v>226</v>
      </c>
      <c r="E14" s="1">
        <v>2.12</v>
      </c>
      <c r="F14" s="1">
        <f t="shared" si="0"/>
        <v>19.444548435627009</v>
      </c>
      <c r="K14" s="2">
        <v>234</v>
      </c>
      <c r="L14" s="1">
        <v>3.4</v>
      </c>
      <c r="M14" s="1">
        <f t="shared" si="1"/>
        <v>23.245261192642243</v>
      </c>
      <c r="O14" s="1">
        <v>200</v>
      </c>
      <c r="P14" s="1">
        <v>29</v>
      </c>
    </row>
    <row r="15" spans="2:17">
      <c r="B15" s="1">
        <v>300</v>
      </c>
      <c r="D15" s="2">
        <v>228</v>
      </c>
      <c r="E15" s="1">
        <v>1.82</v>
      </c>
      <c r="F15" s="1">
        <f t="shared" si="0"/>
        <v>18.042730819692419</v>
      </c>
      <c r="K15" s="2">
        <v>234</v>
      </c>
      <c r="L15" s="1">
        <v>2.08</v>
      </c>
      <c r="M15" s="1">
        <f t="shared" si="1"/>
        <v>18.976949551052375</v>
      </c>
      <c r="O15" s="1">
        <v>300</v>
      </c>
      <c r="P15" s="1">
        <v>25</v>
      </c>
    </row>
    <row r="16" spans="2:17">
      <c r="B16" s="1">
        <v>500</v>
      </c>
      <c r="D16" s="2">
        <v>232</v>
      </c>
      <c r="E16" s="1">
        <v>1.1599999999999999</v>
      </c>
      <c r="F16" s="1">
        <f t="shared" si="0"/>
        <v>13.979400086720375</v>
      </c>
      <c r="K16" s="2">
        <v>234</v>
      </c>
      <c r="L16" s="1">
        <v>1.1599999999999999</v>
      </c>
      <c r="M16" s="1">
        <f t="shared" si="1"/>
        <v>13.904842636335511</v>
      </c>
      <c r="O16" s="1">
        <v>500</v>
      </c>
      <c r="P16" s="1">
        <v>20</v>
      </c>
    </row>
    <row r="17" spans="2:16">
      <c r="B17" s="1">
        <v>700</v>
      </c>
      <c r="D17" s="2">
        <v>232</v>
      </c>
      <c r="E17" s="1">
        <v>0.77600000000000002</v>
      </c>
      <c r="F17" s="1">
        <f t="shared" si="0"/>
        <v>10.487474727345775</v>
      </c>
      <c r="K17" s="2">
        <v>232</v>
      </c>
      <c r="L17" s="1">
        <v>0.76</v>
      </c>
      <c r="M17" s="1">
        <f t="shared" si="1"/>
        <v>10.306512147797832</v>
      </c>
      <c r="O17" s="1">
        <v>700</v>
      </c>
      <c r="P17" s="1">
        <v>17</v>
      </c>
    </row>
    <row r="18" spans="2:16">
      <c r="B18" s="1">
        <v>1000</v>
      </c>
      <c r="D18" s="2">
        <v>232</v>
      </c>
      <c r="E18" s="1">
        <v>0.496</v>
      </c>
      <c r="F18" s="1">
        <f t="shared" si="0"/>
        <v>6.5998738319859553</v>
      </c>
      <c r="K18" s="2">
        <v>232</v>
      </c>
      <c r="L18" s="1">
        <v>0.5</v>
      </c>
      <c r="M18" s="1">
        <f t="shared" si="1"/>
        <v>6.6696403889023816</v>
      </c>
      <c r="O18" s="1">
        <v>1000</v>
      </c>
      <c r="P18" s="1">
        <v>14</v>
      </c>
    </row>
    <row r="19" spans="2:16">
      <c r="B19" s="1">
        <v>2000</v>
      </c>
      <c r="D19" s="2">
        <v>232</v>
      </c>
      <c r="E19" s="1">
        <v>0.24</v>
      </c>
      <c r="F19" s="1">
        <f t="shared" si="0"/>
        <v>0.29446513641412575</v>
      </c>
      <c r="K19" s="2">
        <v>232</v>
      </c>
      <c r="L19" s="1">
        <v>0.22</v>
      </c>
      <c r="M19" s="1">
        <f t="shared" si="1"/>
        <v>-0.46130608137386869</v>
      </c>
      <c r="O19" s="1">
        <v>2000</v>
      </c>
      <c r="P19" s="1">
        <v>7</v>
      </c>
    </row>
    <row r="20" spans="2:16">
      <c r="B20" s="1">
        <v>3000</v>
      </c>
      <c r="D20" s="2">
        <v>232</v>
      </c>
      <c r="E20" s="1">
        <v>0.14399999999999999</v>
      </c>
      <c r="F20" s="1">
        <f t="shared" si="0"/>
        <v>-4.1425098559130014</v>
      </c>
      <c r="K20" s="2">
        <v>230</v>
      </c>
      <c r="L20" s="1">
        <v>0.14000000000000001</v>
      </c>
      <c r="M20" s="1">
        <f t="shared" si="1"/>
        <v>-4.3119960067870968</v>
      </c>
      <c r="O20" s="1">
        <v>3000</v>
      </c>
      <c r="P20" s="1">
        <v>2</v>
      </c>
    </row>
    <row r="21" spans="2:16">
      <c r="B21" s="1">
        <v>5000</v>
      </c>
      <c r="D21" s="2">
        <v>228</v>
      </c>
      <c r="E21" s="1">
        <v>7.0000000000000007E-2</v>
      </c>
      <c r="F21" s="1">
        <f t="shared" si="0"/>
        <v>-10.256736139723939</v>
      </c>
      <c r="K21" s="2">
        <v>226</v>
      </c>
      <c r="L21" s="1">
        <v>0.08</v>
      </c>
      <c r="M21" s="1">
        <f t="shared" si="1"/>
        <v>-9.020369043109147</v>
      </c>
      <c r="O21" s="1">
        <v>5000</v>
      </c>
      <c r="P21" s="1"/>
    </row>
    <row r="22" spans="2:16">
      <c r="B22" s="1">
        <v>7000</v>
      </c>
      <c r="D22" s="2">
        <v>224</v>
      </c>
      <c r="E22" s="1">
        <v>4.3999999999999997E-2</v>
      </c>
      <c r="F22" s="1">
        <f t="shared" si="0"/>
        <v>-14.135906836959508</v>
      </c>
      <c r="K22" s="2">
        <v>224</v>
      </c>
      <c r="L22" s="1">
        <v>4.3999999999999997E-2</v>
      </c>
      <c r="M22" s="1">
        <f t="shared" si="1"/>
        <v>-14.135906836959508</v>
      </c>
      <c r="O22" s="1">
        <v>7000</v>
      </c>
      <c r="P22" s="1"/>
    </row>
    <row r="23" spans="2:16">
      <c r="B23" s="1">
        <v>10000</v>
      </c>
      <c r="D23" s="2">
        <v>222</v>
      </c>
      <c r="E23" s="1">
        <v>2.5000000000000001E-2</v>
      </c>
      <c r="F23" s="1">
        <f t="shared" si="0"/>
        <v>-18.96825931557202</v>
      </c>
      <c r="K23" s="2">
        <v>220</v>
      </c>
      <c r="L23" s="1">
        <v>2.4E-2</v>
      </c>
      <c r="M23" s="1">
        <f t="shared" si="1"/>
        <v>-19.244228782212002</v>
      </c>
      <c r="O23" s="1">
        <v>10000</v>
      </c>
      <c r="P23" s="1"/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A9ACA75C862754A8649B3E439449CE0" ma:contentTypeVersion="15" ma:contentTypeDescription="新しいドキュメントを作成します。" ma:contentTypeScope="" ma:versionID="ac4e7d83e76e8bf15f92ba01e0e6cae4">
  <xsd:schema xmlns:xsd="http://www.w3.org/2001/XMLSchema" xmlns:xs="http://www.w3.org/2001/XMLSchema" xmlns:p="http://schemas.microsoft.com/office/2006/metadata/properties" xmlns:ns3="0c1a8caa-280c-40d8-9a19-c8759556d505" xmlns:ns4="b39ea729-9bc3-4c1e-9a2f-5f0a663ece30" targetNamespace="http://schemas.microsoft.com/office/2006/metadata/properties" ma:root="true" ma:fieldsID="28edfe46a67389850cbe211039b99137" ns3:_="" ns4:_="">
    <xsd:import namespace="0c1a8caa-280c-40d8-9a19-c8759556d505"/>
    <xsd:import namespace="b39ea729-9bc3-4c1e-9a2f-5f0a663ece3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a8caa-280c-40d8-9a19-c8759556d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ea729-9bc3-4c1e-9a2f-5f0a663ece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1a8caa-280c-40d8-9a19-c8759556d505" xsi:nil="true"/>
  </documentManagement>
</p:properties>
</file>

<file path=customXml/itemProps1.xml><?xml version="1.0" encoding="utf-8"?>
<ds:datastoreItem xmlns:ds="http://schemas.openxmlformats.org/officeDocument/2006/customXml" ds:itemID="{925F20DD-4210-46F2-A598-1253A651C5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1a8caa-280c-40d8-9a19-c8759556d505"/>
    <ds:schemaRef ds:uri="b39ea729-9bc3-4c1e-9a2f-5f0a663ece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873CA-2B39-4C86-B9BA-06741029E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04365D-74D0-46C9-9866-523094AB28F3}">
  <ds:schemaRefs>
    <ds:schemaRef ds:uri="http://schemas.microsoft.com/office/2006/metadata/properties"/>
    <ds:schemaRef ds:uri="http://schemas.microsoft.com/office/infopath/2007/PartnerControls"/>
    <ds:schemaRef ds:uri="0c1a8caa-280c-40d8-9a19-c8759556d5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大江 真広_米子学生</dc:creator>
  <cp:keywords/>
  <dc:description/>
  <cp:lastModifiedBy>來間 空_米子学生</cp:lastModifiedBy>
  <cp:revision/>
  <dcterms:created xsi:type="dcterms:W3CDTF">2024-10-22T04:52:09Z</dcterms:created>
  <dcterms:modified xsi:type="dcterms:W3CDTF">2024-11-10T10:07:37Z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0x010100FA9ACA75C862754A8649B3E439449CE0</vt:lpwstr>
  </property>
</Properties>
</file>