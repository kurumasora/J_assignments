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C:\Users\norin\Desktop\"/>
    </mc:Choice>
  </mc:AlternateContent>
  <xr:revisionPtr revIDLastSave="0" documentId="13_ncr:1_{C2533A7F-8100-412B-84A7-9D7D876FB032}" xr6:coauthVersionLast="47" xr6:coauthVersionMax="47" xr10:uidLastSave="{00000000-0000-0000-0000-000000000000}"/>
  <bookViews>
    <workbookView xWindow="-110" yWindow="-110" windowWidth="22620" windowHeight="13500" xr2:uid="{5BF4FAC4-0866-4073-9D58-81541A1E45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</calcChain>
</file>

<file path=xl/sharedStrings.xml><?xml version="1.0" encoding="utf-8"?>
<sst xmlns="http://schemas.openxmlformats.org/spreadsheetml/2006/main" count="9" uniqueCount="7">
  <si>
    <t>20db</t>
    <phoneticPr fontId="1"/>
  </si>
  <si>
    <t>40dB</t>
    <phoneticPr fontId="1"/>
  </si>
  <si>
    <t>周波数(kHz)</t>
    <rPh sb="0" eb="3">
      <t>シュウハスウ</t>
    </rPh>
    <phoneticPr fontId="1"/>
  </si>
  <si>
    <t>入力(mV)</t>
    <rPh sb="0" eb="2">
      <t>ニュウリョク</t>
    </rPh>
    <phoneticPr fontId="1"/>
  </si>
  <si>
    <t>出力(V)</t>
    <rPh sb="0" eb="2">
      <t>シュツリョク</t>
    </rPh>
    <phoneticPr fontId="1"/>
  </si>
  <si>
    <t>出力(mV)</t>
    <rPh sb="0" eb="2">
      <t>シュツリョク</t>
    </rPh>
    <phoneticPr fontId="1"/>
  </si>
  <si>
    <t xml:space="preserve">   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</si>
</sst>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Sheet1!$D$3:$D$23</c:f>
              <c:numCache>
                <c:formatCode>General</c:formatCode>
                <c:ptCount val="21"/>
                <c:pt idx="0">
                  <c:v>19.755310871659766</c:v>
                </c:pt>
                <c:pt idx="1">
                  <c:v>19.503528325499357</c:v>
                </c:pt>
                <c:pt idx="2">
                  <c:v>20</c:v>
                </c:pt>
                <c:pt idx="3">
                  <c:v>20.072082485376505</c:v>
                </c:pt>
                <c:pt idx="4">
                  <c:v>19.672191676236611</c:v>
                </c:pt>
                <c:pt idx="5">
                  <c:v>20</c:v>
                </c:pt>
                <c:pt idx="6">
                  <c:v>19.588269384364448</c:v>
                </c:pt>
                <c:pt idx="7">
                  <c:v>20.070331474456744</c:v>
                </c:pt>
                <c:pt idx="8">
                  <c:v>19.755310871659766</c:v>
                </c:pt>
                <c:pt idx="9">
                  <c:v>21.199958593505706</c:v>
                </c:pt>
                <c:pt idx="10">
                  <c:v>19.337897516840378</c:v>
                </c:pt>
                <c:pt idx="11">
                  <c:v>18.593152292717679</c:v>
                </c:pt>
                <c:pt idx="12">
                  <c:v>18.141123484190899</c:v>
                </c:pt>
                <c:pt idx="13">
                  <c:v>13.82002149329487</c:v>
                </c:pt>
                <c:pt idx="14">
                  <c:v>10.1788593467409</c:v>
                </c:pt>
                <c:pt idx="15">
                  <c:v>7.553281053954521</c:v>
                </c:pt>
                <c:pt idx="16">
                  <c:v>-1.5391957210733356</c:v>
                </c:pt>
                <c:pt idx="17">
                  <c:v>-6.7158420384638617</c:v>
                </c:pt>
                <c:pt idx="18">
                  <c:v>-12.041199826559248</c:v>
                </c:pt>
                <c:pt idx="19">
                  <c:v>-9.6934878522021677</c:v>
                </c:pt>
                <c:pt idx="20">
                  <c:v>-12.762101910252035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8-4A5C-9070-C9434398A97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Sheet1!$H$3:$H$23</c:f>
              <c:numCache>
                <c:formatCode>General</c:formatCode>
                <c:ptCount val="21"/>
                <c:pt idx="0">
                  <c:v>40.07720841626476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39.843493249760868</c:v>
                </c:pt>
                <c:pt idx="5">
                  <c:v>39.68411465633536</c:v>
                </c:pt>
                <c:pt idx="6">
                  <c:v>38.661064207387732</c:v>
                </c:pt>
                <c:pt idx="7">
                  <c:v>37.120760521565394</c:v>
                </c:pt>
                <c:pt idx="8">
                  <c:v>33.663514743055735</c:v>
                </c:pt>
                <c:pt idx="9">
                  <c:v>30.792274058480515</c:v>
                </c:pt>
                <c:pt idx="10">
                  <c:v>27.707017627280344</c:v>
                </c:pt>
                <c:pt idx="11">
                  <c:v>21.091713965715506</c:v>
                </c:pt>
                <c:pt idx="12">
                  <c:v>18.570111652373324</c:v>
                </c:pt>
                <c:pt idx="13">
                  <c:v>12.457596705310717</c:v>
                </c:pt>
                <c:pt idx="14">
                  <c:v>9.1186391129944884</c:v>
                </c:pt>
                <c:pt idx="15">
                  <c:v>5.4600254412747526</c:v>
                </c:pt>
                <c:pt idx="16">
                  <c:v>3.0980391997148637</c:v>
                </c:pt>
                <c:pt idx="17">
                  <c:v>-4.8607609737258892</c:v>
                </c:pt>
                <c:pt idx="18">
                  <c:v>-9.8583104380578863</c:v>
                </c:pt>
                <c:pt idx="19">
                  <c:v>-11.441935359010385</c:v>
                </c:pt>
                <c:pt idx="20">
                  <c:v>-15.87891035133751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8-4A5C-9070-C9434398A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189056"/>
        <c:axId val="542311072"/>
      </c:lineChart>
      <c:catAx>
        <c:axId val="10918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311072"/>
        <c:crosses val="autoZero"/>
        <c:auto val="1"/>
        <c:lblAlgn val="ctr"/>
        <c:lblOffset val="1"/>
        <c:noMultiLvlLbl val="0"/>
      </c:catAx>
      <c:valAx>
        <c:axId val="5423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8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Sheet1!$Q$3:$Q$23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xVal>
          <c:yVal>
            <c:numRef>
              <c:f>Sheet1!$R$3:$R$23</c:f>
              <c:numCache>
                <c:formatCode>General</c:formatCode>
                <c:ptCount val="21"/>
                <c:pt idx="0">
                  <c:v>19.755310871659766</c:v>
                </c:pt>
                <c:pt idx="1">
                  <c:v>19.503528325499357</c:v>
                </c:pt>
                <c:pt idx="2">
                  <c:v>20</c:v>
                </c:pt>
                <c:pt idx="3">
                  <c:v>20.072082485376505</c:v>
                </c:pt>
                <c:pt idx="4">
                  <c:v>19.672191676236611</c:v>
                </c:pt>
                <c:pt idx="5">
                  <c:v>20</c:v>
                </c:pt>
                <c:pt idx="6">
                  <c:v>19.588269384364448</c:v>
                </c:pt>
                <c:pt idx="7">
                  <c:v>20.070331474456744</c:v>
                </c:pt>
                <c:pt idx="8">
                  <c:v>19.755310871659766</c:v>
                </c:pt>
                <c:pt idx="9">
                  <c:v>21.199958593505706</c:v>
                </c:pt>
                <c:pt idx="10">
                  <c:v>19.337897516840378</c:v>
                </c:pt>
                <c:pt idx="11">
                  <c:v>18.593152292717679</c:v>
                </c:pt>
                <c:pt idx="12">
                  <c:v>18.141123484190899</c:v>
                </c:pt>
                <c:pt idx="13">
                  <c:v>13.82002149329487</c:v>
                </c:pt>
                <c:pt idx="14">
                  <c:v>10.1788593467409</c:v>
                </c:pt>
                <c:pt idx="15">
                  <c:v>7.553281053954521</c:v>
                </c:pt>
                <c:pt idx="16">
                  <c:v>-1.5391957210733356</c:v>
                </c:pt>
                <c:pt idx="17">
                  <c:v>-6.7158420384638617</c:v>
                </c:pt>
                <c:pt idx="18">
                  <c:v>-12.041199826559248</c:v>
                </c:pt>
                <c:pt idx="19">
                  <c:v>-9.6934878522021677</c:v>
                </c:pt>
                <c:pt idx="20">
                  <c:v>-12.762101910252035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52-433C-8E62-FC35529EA98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Sheet1!$Q$3:$Q$23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xVal>
          <c:yVal>
            <c:numRef>
              <c:f>Sheet1!$S$3:$S$23</c:f>
              <c:numCache>
                <c:formatCode>General</c:formatCode>
                <c:ptCount val="21"/>
                <c:pt idx="0">
                  <c:v>40.07720841626476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39.843493249760868</c:v>
                </c:pt>
                <c:pt idx="5">
                  <c:v>39.68411465633536</c:v>
                </c:pt>
                <c:pt idx="6">
                  <c:v>38.661064207387732</c:v>
                </c:pt>
                <c:pt idx="7">
                  <c:v>37.120760521565394</c:v>
                </c:pt>
                <c:pt idx="8">
                  <c:v>33.663514743055735</c:v>
                </c:pt>
                <c:pt idx="9">
                  <c:v>30.792274058480515</c:v>
                </c:pt>
                <c:pt idx="10">
                  <c:v>27.707017627280344</c:v>
                </c:pt>
                <c:pt idx="11">
                  <c:v>21.091713965715506</c:v>
                </c:pt>
                <c:pt idx="12">
                  <c:v>18.570111652373324</c:v>
                </c:pt>
                <c:pt idx="13">
                  <c:v>12.457596705310717</c:v>
                </c:pt>
                <c:pt idx="14">
                  <c:v>9.1186391129944884</c:v>
                </c:pt>
                <c:pt idx="15">
                  <c:v>5.4600254412747526</c:v>
                </c:pt>
                <c:pt idx="16">
                  <c:v>3.0980391997148637</c:v>
                </c:pt>
                <c:pt idx="17">
                  <c:v>-4.8607609737258892</c:v>
                </c:pt>
                <c:pt idx="18">
                  <c:v>-9.8583104380578863</c:v>
                </c:pt>
                <c:pt idx="19">
                  <c:v>-11.441935359010385</c:v>
                </c:pt>
                <c:pt idx="20">
                  <c:v>-15.87891035133751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52-433C-8E62-FC35529EA98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Sheet1!$Q$3:$Q$23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100</c:v>
                </c:pt>
                <c:pt idx="11">
                  <c:v>200</c:v>
                </c:pt>
                <c:pt idx="12">
                  <c:v>300</c:v>
                </c:pt>
                <c:pt idx="13">
                  <c:v>500</c:v>
                </c:pt>
                <c:pt idx="14">
                  <c:v>700</c:v>
                </c:pt>
                <c:pt idx="15">
                  <c:v>1000</c:v>
                </c:pt>
                <c:pt idx="16">
                  <c:v>2000</c:v>
                </c:pt>
                <c:pt idx="17">
                  <c:v>3000</c:v>
                </c:pt>
                <c:pt idx="18">
                  <c:v>5000</c:v>
                </c:pt>
                <c:pt idx="19">
                  <c:v>7000</c:v>
                </c:pt>
                <c:pt idx="20">
                  <c:v>10000</c:v>
                </c:pt>
              </c:numCache>
            </c:numRef>
          </c:xVal>
          <c:yVal>
            <c:numRef>
              <c:f>Sheet1!$T$3:$T$23</c:f>
              <c:numCache>
                <c:formatCode>General</c:formatCode>
                <c:ptCount val="21"/>
                <c:pt idx="0">
                  <c:v>70</c:v>
                </c:pt>
                <c:pt idx="1">
                  <c:v>64</c:v>
                </c:pt>
                <c:pt idx="2">
                  <c:v>60</c:v>
                </c:pt>
                <c:pt idx="3">
                  <c:v>55</c:v>
                </c:pt>
                <c:pt idx="4">
                  <c:v>51</c:v>
                </c:pt>
                <c:pt idx="5">
                  <c:v>50</c:v>
                </c:pt>
                <c:pt idx="6">
                  <c:v>44</c:v>
                </c:pt>
                <c:pt idx="7">
                  <c:v>40</c:v>
                </c:pt>
                <c:pt idx="8">
                  <c:v>35</c:v>
                </c:pt>
                <c:pt idx="9">
                  <c:v>31</c:v>
                </c:pt>
                <c:pt idx="10">
                  <c:v>30</c:v>
                </c:pt>
                <c:pt idx="11">
                  <c:v>24</c:v>
                </c:pt>
                <c:pt idx="12">
                  <c:v>20</c:v>
                </c:pt>
                <c:pt idx="13">
                  <c:v>15</c:v>
                </c:pt>
                <c:pt idx="14">
                  <c:v>11</c:v>
                </c:pt>
                <c:pt idx="15">
                  <c:v>10</c:v>
                </c:pt>
                <c:pt idx="16">
                  <c:v>4</c:v>
                </c:pt>
                <c:pt idx="17">
                  <c:v>0</c:v>
                </c:pt>
                <c:pt idx="18">
                  <c:v>-5</c:v>
                </c:pt>
                <c:pt idx="19">
                  <c:v>-9</c:v>
                </c:pt>
                <c:pt idx="20">
                  <c:v>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52-433C-8E62-FC35529EA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096768"/>
        <c:axId val="384098208"/>
      </c:scatterChart>
      <c:valAx>
        <c:axId val="3840967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98208"/>
        <c:crosses val="autoZero"/>
        <c:crossBetween val="midCat"/>
      </c:valAx>
      <c:valAx>
        <c:axId val="38409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09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371475</xdr:colOff>
      <xdr:row>5</xdr:row>
      <xdr:rowOff>101600</xdr:rowOff>
    </xdr:from>
    <xdr:to>
      <xdr:col>15</xdr:col>
      <xdr:colOff>320675</xdr:colOff>
      <xdr:row>17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017C3F5-4F2D-940A-F7CC-B64917BB2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587375</xdr:colOff>
      <xdr:row>17</xdr:row>
      <xdr:rowOff>215900</xdr:rowOff>
    </xdr:from>
    <xdr:to>
      <xdr:col>15</xdr:col>
      <xdr:colOff>536575</xdr:colOff>
      <xdr:row>29</xdr:row>
      <xdr:rowOff>215900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8F02FFC-C804-47F5-6BC3-D3E5CE515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20D6-C6BB-4BEA-9236-37376A99339E}">
  <dimension ref="A1:T33"/>
  <sheetViews>
    <sheetView tabSelected="1" topLeftCell="E6" zoomScale="97" workbookViewId="0">
      <selection activeCell="T24" sqref="T24"/>
    </sheetView>
  </sheetViews>
  <sheetFormatPr defaultRowHeight="18"/>
  <cols>
    <col min="1" max="1" width="11" customWidth="1"/>
    <col min="3" max="3" width="9.125" bestFit="1" customWidth="1"/>
    <col min="5" max="5" width="12.125" customWidth="1"/>
    <col min="6" max="6" width="8.875" customWidth="1"/>
  </cols>
  <sheetData>
    <row r="1" spans="1:20">
      <c r="A1" t="s">
        <v>0</v>
      </c>
      <c r="E1" t="s">
        <v>1</v>
      </c>
    </row>
    <row r="2" spans="1:20">
      <c r="A2" t="s">
        <v>2</v>
      </c>
      <c r="B2" t="s">
        <v>3</v>
      </c>
      <c r="C2" t="s">
        <v>4</v>
      </c>
      <c r="E2" t="s">
        <v>2</v>
      </c>
      <c r="F2" t="s">
        <v>3</v>
      </c>
      <c r="G2" t="s">
        <v>5</v>
      </c>
    </row>
    <row r="3" spans="1:20">
      <c r="A3">
        <v>1</v>
      </c>
      <c r="B3">
        <v>216</v>
      </c>
      <c r="C3">
        <v>2.1</v>
      </c>
      <c r="D3">
        <f>20*LOG10(C3*1000/B3)</f>
        <v>19.755310871659766</v>
      </c>
      <c r="E3">
        <v>1</v>
      </c>
      <c r="F3">
        <v>224</v>
      </c>
      <c r="G3">
        <v>22.6</v>
      </c>
      <c r="H3">
        <f>20*LOG10(G3*1000/F3)</f>
        <v>40.07720841626476</v>
      </c>
      <c r="Q3">
        <v>1</v>
      </c>
      <c r="R3">
        <v>19.755310871659766</v>
      </c>
      <c r="S3">
        <v>40.07720841626476</v>
      </c>
      <c r="T3">
        <v>70</v>
      </c>
    </row>
    <row r="4" spans="1:20">
      <c r="A4">
        <v>2</v>
      </c>
      <c r="B4">
        <v>216</v>
      </c>
      <c r="C4">
        <v>2.04</v>
      </c>
      <c r="D4">
        <f t="shared" ref="D4:D23" si="0">20*LOG10(C4*1000/B4)</f>
        <v>19.503528325499357</v>
      </c>
      <c r="E4">
        <v>2</v>
      </c>
      <c r="F4">
        <v>224</v>
      </c>
      <c r="G4">
        <v>22.4</v>
      </c>
      <c r="H4">
        <f t="shared" ref="H4:H23" si="1">20*LOG10(G4*1000/F4)</f>
        <v>40</v>
      </c>
      <c r="Q4">
        <v>2</v>
      </c>
      <c r="R4">
        <v>19.503528325499357</v>
      </c>
      <c r="S4">
        <v>40</v>
      </c>
      <c r="T4">
        <v>64</v>
      </c>
    </row>
    <row r="5" spans="1:20">
      <c r="A5">
        <v>3</v>
      </c>
      <c r="B5">
        <v>244</v>
      </c>
      <c r="C5">
        <v>2.44</v>
      </c>
      <c r="D5">
        <f t="shared" si="0"/>
        <v>20</v>
      </c>
      <c r="E5">
        <v>3</v>
      </c>
      <c r="F5">
        <v>224</v>
      </c>
      <c r="G5">
        <v>22.4</v>
      </c>
      <c r="H5">
        <f t="shared" si="1"/>
        <v>40</v>
      </c>
      <c r="Q5">
        <v>3</v>
      </c>
      <c r="R5">
        <v>20</v>
      </c>
      <c r="S5">
        <v>40</v>
      </c>
      <c r="T5">
        <v>60</v>
      </c>
    </row>
    <row r="6" spans="1:20">
      <c r="A6">
        <v>5</v>
      </c>
      <c r="B6">
        <v>240</v>
      </c>
      <c r="C6">
        <v>2.42</v>
      </c>
      <c r="D6">
        <f t="shared" si="0"/>
        <v>20.072082485376505</v>
      </c>
      <c r="E6">
        <v>5</v>
      </c>
      <c r="F6">
        <v>224</v>
      </c>
      <c r="G6">
        <v>22.4</v>
      </c>
      <c r="H6">
        <f t="shared" si="1"/>
        <v>40</v>
      </c>
      <c r="Q6">
        <v>5</v>
      </c>
      <c r="R6">
        <v>20.072082485376505</v>
      </c>
      <c r="S6">
        <v>40</v>
      </c>
      <c r="T6">
        <v>55</v>
      </c>
    </row>
    <row r="7" spans="1:20">
      <c r="A7">
        <v>7</v>
      </c>
      <c r="B7">
        <v>216</v>
      </c>
      <c r="C7">
        <v>2.08</v>
      </c>
      <c r="D7">
        <f t="shared" si="0"/>
        <v>19.672191676236611</v>
      </c>
      <c r="E7">
        <v>7</v>
      </c>
      <c r="F7">
        <v>224</v>
      </c>
      <c r="G7">
        <v>22</v>
      </c>
      <c r="H7">
        <f t="shared" si="1"/>
        <v>39.843493249760868</v>
      </c>
      <c r="Q7">
        <v>7</v>
      </c>
      <c r="R7">
        <v>19.672191676236611</v>
      </c>
      <c r="S7">
        <v>39.843493249760868</v>
      </c>
      <c r="T7">
        <v>51</v>
      </c>
    </row>
    <row r="8" spans="1:20">
      <c r="A8">
        <v>10</v>
      </c>
      <c r="B8">
        <v>216</v>
      </c>
      <c r="C8">
        <v>2.16</v>
      </c>
      <c r="D8">
        <f t="shared" si="0"/>
        <v>20</v>
      </c>
      <c r="E8">
        <v>10</v>
      </c>
      <c r="F8">
        <v>224</v>
      </c>
      <c r="G8">
        <v>21.6</v>
      </c>
      <c r="H8">
        <f t="shared" si="1"/>
        <v>39.68411465633536</v>
      </c>
      <c r="Q8">
        <v>10</v>
      </c>
      <c r="R8">
        <v>20</v>
      </c>
      <c r="S8">
        <v>39.68411465633536</v>
      </c>
      <c r="T8">
        <v>50</v>
      </c>
    </row>
    <row r="9" spans="1:20">
      <c r="A9">
        <v>20</v>
      </c>
      <c r="B9">
        <v>216</v>
      </c>
      <c r="C9">
        <v>2.06</v>
      </c>
      <c r="D9">
        <f t="shared" si="0"/>
        <v>19.588269384364448</v>
      </c>
      <c r="E9">
        <v>20</v>
      </c>
      <c r="F9">
        <v>224</v>
      </c>
      <c r="G9">
        <v>19.2</v>
      </c>
      <c r="H9">
        <f t="shared" si="1"/>
        <v>38.661064207387732</v>
      </c>
      <c r="Q9">
        <v>20</v>
      </c>
      <c r="R9">
        <v>19.588269384364448</v>
      </c>
      <c r="S9">
        <v>38.661064207387732</v>
      </c>
      <c r="T9">
        <v>44</v>
      </c>
    </row>
    <row r="10" spans="1:20">
      <c r="A10">
        <v>30</v>
      </c>
      <c r="B10">
        <v>246</v>
      </c>
      <c r="C10">
        <v>2.48</v>
      </c>
      <c r="D10">
        <f t="shared" si="0"/>
        <v>20.070331474456744</v>
      </c>
      <c r="E10">
        <v>30</v>
      </c>
      <c r="F10">
        <v>224</v>
      </c>
      <c r="G10">
        <v>16.079999999999998</v>
      </c>
      <c r="H10">
        <f t="shared" si="1"/>
        <v>37.120760521565394</v>
      </c>
      <c r="Q10">
        <v>30</v>
      </c>
      <c r="R10">
        <v>20.070331474456744</v>
      </c>
      <c r="S10">
        <v>37.120760521565394</v>
      </c>
      <c r="T10">
        <v>40</v>
      </c>
    </row>
    <row r="11" spans="1:20">
      <c r="A11">
        <v>50</v>
      </c>
      <c r="B11">
        <v>216</v>
      </c>
      <c r="C11">
        <v>2.1</v>
      </c>
      <c r="D11">
        <f t="shared" si="0"/>
        <v>19.755310871659766</v>
      </c>
      <c r="E11">
        <v>50</v>
      </c>
      <c r="F11">
        <v>224</v>
      </c>
      <c r="G11">
        <v>10.8</v>
      </c>
      <c r="H11">
        <f t="shared" si="1"/>
        <v>33.663514743055735</v>
      </c>
      <c r="Q11">
        <v>50</v>
      </c>
      <c r="R11">
        <v>19.755310871659766</v>
      </c>
      <c r="S11">
        <v>33.663514743055735</v>
      </c>
      <c r="T11">
        <v>35</v>
      </c>
    </row>
    <row r="12" spans="1:20">
      <c r="A12">
        <v>70</v>
      </c>
      <c r="B12">
        <v>216</v>
      </c>
      <c r="C12">
        <v>2.48</v>
      </c>
      <c r="D12">
        <f t="shared" si="0"/>
        <v>21.199958593505706</v>
      </c>
      <c r="E12">
        <v>70</v>
      </c>
      <c r="F12">
        <v>224</v>
      </c>
      <c r="G12">
        <v>7.76</v>
      </c>
      <c r="H12">
        <f t="shared" si="1"/>
        <v>30.792274058480515</v>
      </c>
      <c r="Q12">
        <v>70</v>
      </c>
      <c r="R12">
        <v>21.199958593505706</v>
      </c>
      <c r="S12">
        <v>30.792274058480515</v>
      </c>
      <c r="T12">
        <v>31</v>
      </c>
    </row>
    <row r="13" spans="1:20">
      <c r="A13">
        <v>100</v>
      </c>
      <c r="B13">
        <v>218</v>
      </c>
      <c r="C13">
        <v>2.02</v>
      </c>
      <c r="D13">
        <f t="shared" si="0"/>
        <v>19.337897516840378</v>
      </c>
      <c r="E13">
        <v>100</v>
      </c>
      <c r="F13">
        <v>224</v>
      </c>
      <c r="G13">
        <v>5.44</v>
      </c>
      <c r="H13">
        <f t="shared" si="1"/>
        <v>27.707017627280344</v>
      </c>
      <c r="Q13">
        <v>100</v>
      </c>
      <c r="R13">
        <v>19.337897516840378</v>
      </c>
      <c r="S13">
        <v>27.707017627280344</v>
      </c>
      <c r="T13">
        <v>30</v>
      </c>
    </row>
    <row r="14" spans="1:20">
      <c r="A14">
        <v>200</v>
      </c>
      <c r="B14">
        <v>214</v>
      </c>
      <c r="C14">
        <v>1.82</v>
      </c>
      <c r="D14">
        <f t="shared" si="0"/>
        <v>18.593152292717679</v>
      </c>
      <c r="E14">
        <v>200</v>
      </c>
      <c r="F14">
        <v>224</v>
      </c>
      <c r="G14">
        <v>2.54</v>
      </c>
      <c r="H14">
        <f t="shared" si="1"/>
        <v>21.091713965715506</v>
      </c>
      <c r="Q14">
        <v>200</v>
      </c>
      <c r="R14">
        <v>18.593152292717679</v>
      </c>
      <c r="S14">
        <v>21.091713965715506</v>
      </c>
      <c r="T14">
        <v>24</v>
      </c>
    </row>
    <row r="15" spans="1:20">
      <c r="A15">
        <v>300</v>
      </c>
      <c r="B15">
        <v>218</v>
      </c>
      <c r="C15">
        <v>1.76</v>
      </c>
      <c r="D15">
        <f t="shared" si="0"/>
        <v>18.141123484190899</v>
      </c>
      <c r="E15">
        <v>300</v>
      </c>
      <c r="F15">
        <v>224</v>
      </c>
      <c r="G15">
        <v>1.9</v>
      </c>
      <c r="H15">
        <f t="shared" si="1"/>
        <v>18.570111652373324</v>
      </c>
      <c r="Q15">
        <v>300</v>
      </c>
      <c r="R15">
        <v>18.141123484190899</v>
      </c>
      <c r="S15">
        <v>18.570111652373324</v>
      </c>
      <c r="T15">
        <v>20</v>
      </c>
    </row>
    <row r="16" spans="1:20">
      <c r="A16">
        <v>500</v>
      </c>
      <c r="B16">
        <v>220</v>
      </c>
      <c r="C16">
        <v>1.08</v>
      </c>
      <c r="D16">
        <f t="shared" si="0"/>
        <v>13.82002149329487</v>
      </c>
      <c r="E16">
        <v>500</v>
      </c>
      <c r="F16">
        <v>224</v>
      </c>
      <c r="G16">
        <v>0.94</v>
      </c>
      <c r="H16">
        <f t="shared" si="1"/>
        <v>12.457596705310717</v>
      </c>
      <c r="Q16">
        <v>500</v>
      </c>
      <c r="R16">
        <v>13.82002149329487</v>
      </c>
      <c r="S16">
        <v>12.457596705310717</v>
      </c>
      <c r="T16">
        <v>15</v>
      </c>
    </row>
    <row r="17" spans="1:20">
      <c r="A17">
        <v>700</v>
      </c>
      <c r="B17">
        <v>228</v>
      </c>
      <c r="C17">
        <v>0.73599999999999999</v>
      </c>
      <c r="D17">
        <f t="shared" si="0"/>
        <v>10.1788593467409</v>
      </c>
      <c r="E17">
        <v>700</v>
      </c>
      <c r="F17">
        <v>224</v>
      </c>
      <c r="G17">
        <v>0.64</v>
      </c>
      <c r="H17">
        <f t="shared" si="1"/>
        <v>9.1186391129944884</v>
      </c>
      <c r="Q17">
        <v>700</v>
      </c>
      <c r="R17">
        <v>10.1788593467409</v>
      </c>
      <c r="S17">
        <v>9.1186391129944884</v>
      </c>
      <c r="T17">
        <v>11</v>
      </c>
    </row>
    <row r="18" spans="1:20">
      <c r="A18">
        <v>1000</v>
      </c>
      <c r="B18">
        <v>228</v>
      </c>
      <c r="C18">
        <v>0.54400000000000004</v>
      </c>
      <c r="D18">
        <f t="shared" si="0"/>
        <v>7.553281053954521</v>
      </c>
      <c r="E18">
        <v>1000</v>
      </c>
      <c r="F18">
        <v>224</v>
      </c>
      <c r="G18">
        <v>0.42</v>
      </c>
      <c r="H18">
        <f t="shared" si="1"/>
        <v>5.4600254412747526</v>
      </c>
      <c r="K18">
        <v>70</v>
      </c>
      <c r="Q18">
        <v>1000</v>
      </c>
      <c r="R18">
        <v>7.553281053954521</v>
      </c>
      <c r="S18">
        <v>5.4600254412747526</v>
      </c>
      <c r="T18">
        <v>10</v>
      </c>
    </row>
    <row r="19" spans="1:20">
      <c r="A19">
        <v>2000</v>
      </c>
      <c r="B19">
        <v>234</v>
      </c>
      <c r="C19">
        <v>0.19600000000000001</v>
      </c>
      <c r="D19">
        <f t="shared" si="0"/>
        <v>-1.5391957210733356</v>
      </c>
      <c r="E19">
        <v>2000</v>
      </c>
      <c r="F19">
        <v>224</v>
      </c>
      <c r="G19">
        <v>0.32</v>
      </c>
      <c r="H19">
        <f t="shared" si="1"/>
        <v>3.0980391997148637</v>
      </c>
      <c r="Q19">
        <v>2000</v>
      </c>
      <c r="R19">
        <v>-1.5391957210733356</v>
      </c>
      <c r="S19">
        <v>3.0980391997148637</v>
      </c>
      <c r="T19">
        <v>4</v>
      </c>
    </row>
    <row r="20" spans="1:20">
      <c r="A20">
        <v>3000</v>
      </c>
      <c r="B20">
        <v>234</v>
      </c>
      <c r="C20">
        <v>0.108</v>
      </c>
      <c r="D20">
        <f t="shared" si="0"/>
        <v>-6.7158420384638617</v>
      </c>
      <c r="E20">
        <v>3000</v>
      </c>
      <c r="F20">
        <v>224</v>
      </c>
      <c r="G20">
        <v>0.128</v>
      </c>
      <c r="H20">
        <f t="shared" si="1"/>
        <v>-4.8607609737258892</v>
      </c>
      <c r="Q20">
        <v>3000</v>
      </c>
      <c r="R20">
        <v>-6.7158420384638617</v>
      </c>
      <c r="S20">
        <v>-4.8607609737258892</v>
      </c>
      <c r="T20">
        <v>0</v>
      </c>
    </row>
    <row r="21" spans="1:20">
      <c r="A21">
        <v>5000</v>
      </c>
      <c r="B21">
        <v>232</v>
      </c>
      <c r="C21">
        <v>5.8000000000000003E-2</v>
      </c>
      <c r="D21">
        <f t="shared" si="0"/>
        <v>-12.041199826559248</v>
      </c>
      <c r="E21">
        <v>5000</v>
      </c>
      <c r="F21">
        <v>224</v>
      </c>
      <c r="G21">
        <v>7.1999999999999995E-2</v>
      </c>
      <c r="H21">
        <f t="shared" si="1"/>
        <v>-9.8583104380578863</v>
      </c>
      <c r="Q21">
        <v>5000</v>
      </c>
      <c r="R21">
        <v>-12.041199826559248</v>
      </c>
      <c r="S21">
        <v>-9.8583104380578863</v>
      </c>
      <c r="T21">
        <v>-5</v>
      </c>
    </row>
    <row r="22" spans="1:20">
      <c r="A22">
        <v>7000</v>
      </c>
      <c r="B22">
        <v>232</v>
      </c>
      <c r="C22">
        <v>7.5999999999999998E-2</v>
      </c>
      <c r="D22">
        <f t="shared" si="0"/>
        <v>-9.6934878522021677</v>
      </c>
      <c r="E22">
        <v>7000</v>
      </c>
      <c r="F22">
        <v>224</v>
      </c>
      <c r="G22">
        <v>0.06</v>
      </c>
      <c r="H22">
        <f t="shared" si="1"/>
        <v>-11.441935359010385</v>
      </c>
      <c r="Q22">
        <v>7000</v>
      </c>
      <c r="R22">
        <v>-9.6934878522021677</v>
      </c>
      <c r="S22">
        <v>-11.441935359010385</v>
      </c>
      <c r="T22">
        <v>-9</v>
      </c>
    </row>
    <row r="23" spans="1:20">
      <c r="A23">
        <v>10000</v>
      </c>
      <c r="B23">
        <v>226</v>
      </c>
      <c r="C23">
        <v>5.1999999999999998E-2</v>
      </c>
      <c r="D23">
        <f t="shared" si="0"/>
        <v>-12.762101910252035</v>
      </c>
      <c r="E23">
        <v>10000</v>
      </c>
      <c r="F23">
        <v>224</v>
      </c>
      <c r="G23">
        <v>3.5999999999999997E-2</v>
      </c>
      <c r="H23">
        <f t="shared" si="1"/>
        <v>-15.87891035133751</v>
      </c>
      <c r="N23" t="s">
        <v>6</v>
      </c>
      <c r="Q23">
        <v>10000</v>
      </c>
      <c r="R23">
        <v>-12.762101910252035</v>
      </c>
      <c r="S23">
        <v>-15.87891035133751</v>
      </c>
      <c r="T23">
        <v>-10</v>
      </c>
    </row>
    <row r="26" spans="1:20">
      <c r="C26">
        <v>1</v>
      </c>
      <c r="D26">
        <v>110</v>
      </c>
    </row>
    <row r="27" spans="1:20">
      <c r="C27">
        <v>10</v>
      </c>
      <c r="D27">
        <v>110</v>
      </c>
    </row>
    <row r="28" spans="1:20">
      <c r="C28">
        <v>100</v>
      </c>
      <c r="D28">
        <v>90</v>
      </c>
    </row>
    <row r="29" spans="1:20">
      <c r="C29">
        <v>1000</v>
      </c>
      <c r="D29">
        <v>70</v>
      </c>
    </row>
    <row r="30" spans="1:20">
      <c r="C30">
        <v>10000</v>
      </c>
      <c r="D30">
        <v>50</v>
      </c>
    </row>
    <row r="31" spans="1:20">
      <c r="C31">
        <v>100000</v>
      </c>
      <c r="D31">
        <v>30</v>
      </c>
    </row>
    <row r="32" spans="1:20">
      <c r="C32">
        <v>1000000</v>
      </c>
      <c r="D32">
        <v>10</v>
      </c>
    </row>
    <row r="33" spans="3:4">
      <c r="C33">
        <v>10000000</v>
      </c>
      <c r="D33">
        <v>-10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山本 憲政_米子学生</dc:creator>
  <cp:keywords/>
  <dc:description/>
  <cp:lastModifiedBy>山本 憲政_米子学生</cp:lastModifiedBy>
  <cp:revision/>
  <dcterms:created xsi:type="dcterms:W3CDTF">2024-10-22T05:11:32Z</dcterms:created>
  <dcterms:modified xsi:type="dcterms:W3CDTF">2024-10-22T06:48:39Z</dcterms:modified>
  <cp:category/>
  <cp:contentStatus/>
</cp:coreProperties>
</file>