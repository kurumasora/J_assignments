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user1/Desktop/３J/ダイオード/"/>
    </mc:Choice>
  </mc:AlternateContent>
  <xr:revisionPtr revIDLastSave="0" documentId="13_ncr:1_{8D51CB6B-11DC-7E49-8824-3C9A7C01CBC6}" xr6:coauthVersionLast="47" xr6:coauthVersionMax="47" xr10:uidLastSave="{00000000-0000-0000-0000-000000000000}"/>
  <bookViews>
    <workbookView xWindow="0" yWindow="0" windowWidth="28800" windowHeight="18000" xr2:uid="{46AB9F17-1BCE-4662-941B-D7D088430DA5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7" i="1"/>
  <c r="P8" i="1"/>
  <c r="P9" i="1"/>
  <c r="P10" i="1"/>
  <c r="P11" i="1"/>
  <c r="P12" i="1"/>
  <c r="P13" i="1"/>
  <c r="P14" i="1"/>
  <c r="P15" i="1"/>
  <c r="P16" i="1"/>
  <c r="P17" i="1"/>
  <c r="P5" i="1"/>
  <c r="S7" i="1"/>
  <c r="S8" i="1"/>
  <c r="S9" i="1"/>
  <c r="S10" i="1"/>
  <c r="S11" i="1"/>
  <c r="S12" i="1"/>
  <c r="S13" i="1"/>
  <c r="S14" i="1"/>
  <c r="S15" i="1"/>
  <c r="S16" i="1"/>
  <c r="S17" i="1"/>
  <c r="S18" i="1"/>
  <c r="S4" i="1"/>
  <c r="S5" i="1"/>
  <c r="S6" i="1"/>
  <c r="S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4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</calcChain>
</file>

<file path=xl/sharedStrings.xml><?xml version="1.0" encoding="utf-8"?>
<sst xmlns="http://schemas.openxmlformats.org/spreadsheetml/2006/main" count="16" uniqueCount="9">
  <si>
    <t>赤色LED</t>
    <rPh sb="0" eb="2">
      <t>アカイロ</t>
    </rPh>
    <phoneticPr fontId="1"/>
  </si>
  <si>
    <t>白色LED</t>
    <rPh sb="0" eb="2">
      <t>シロイロ</t>
    </rPh>
    <phoneticPr fontId="1"/>
  </si>
  <si>
    <t>ダイオード</t>
    <phoneticPr fontId="1"/>
  </si>
  <si>
    <r>
      <t>V</t>
    </r>
    <r>
      <rPr>
        <sz val="6"/>
        <color theme="1"/>
        <rFont val="游ゴシック"/>
        <family val="3"/>
        <charset val="128"/>
        <scheme val="minor"/>
      </rPr>
      <t>in</t>
    </r>
    <r>
      <rPr>
        <sz val="10"/>
        <color theme="1"/>
        <rFont val="游ゴシック"/>
        <family val="3"/>
        <charset val="128"/>
        <scheme val="minor"/>
      </rPr>
      <t>（V）</t>
    </r>
    <phoneticPr fontId="1"/>
  </si>
  <si>
    <r>
      <t>V</t>
    </r>
    <r>
      <rPr>
        <sz val="6"/>
        <color theme="1"/>
        <rFont val="游ゴシック"/>
        <family val="3"/>
        <charset val="128"/>
        <scheme val="minor"/>
      </rPr>
      <t>out</t>
    </r>
    <r>
      <rPr>
        <sz val="10"/>
        <color theme="1"/>
        <rFont val="游ゴシック"/>
        <family val="2"/>
        <charset val="128"/>
        <scheme val="minor"/>
      </rPr>
      <t>（V）</t>
    </r>
    <phoneticPr fontId="1"/>
  </si>
  <si>
    <t>I（A）</t>
    <phoneticPr fontId="1"/>
  </si>
  <si>
    <r>
      <t>V</t>
    </r>
    <r>
      <rPr>
        <sz val="6"/>
        <color theme="1"/>
        <rFont val="游ゴシック"/>
        <family val="3"/>
        <charset val="128"/>
        <scheme val="minor"/>
      </rPr>
      <t>in</t>
    </r>
    <phoneticPr fontId="1"/>
  </si>
  <si>
    <r>
      <t>V</t>
    </r>
    <r>
      <rPr>
        <sz val="6"/>
        <color theme="1"/>
        <rFont val="游ゴシック"/>
        <family val="3"/>
        <charset val="128"/>
        <scheme val="minor"/>
      </rPr>
      <t>out</t>
    </r>
    <r>
      <rPr>
        <sz val="10"/>
        <color theme="1"/>
        <rFont val="游ゴシック"/>
        <family val="3"/>
        <charset val="128"/>
        <scheme val="minor"/>
      </rPr>
      <t>（V）</t>
    </r>
    <phoneticPr fontId="1"/>
  </si>
  <si>
    <t>I[A]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</si>
</sst>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000"/>
  </numFmts>
  <fonts count="4">
    <font>
      <sz val="10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176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0" fillId="0" borderId="5" xfId="0" applyNumberFormat="1" applyBorder="1">
      <alignment vertical="center"/>
    </xf>
    <xf numFmtId="177" fontId="0" fillId="0" borderId="6" xfId="0" applyNumberFormat="1" applyBorder="1">
      <alignment vertical="center"/>
    </xf>
    <xf numFmtId="2" fontId="0" fillId="0" borderId="5" xfId="0" applyNumberFormat="1" applyBorder="1">
      <alignment vertical="center"/>
    </xf>
    <xf numFmtId="2" fontId="0" fillId="0" borderId="7" xfId="0" applyNumberFormat="1" applyBorder="1">
      <alignment vertical="center"/>
    </xf>
    <xf numFmtId="0" fontId="0" fillId="0" borderId="8" xfId="0" applyBorder="1">
      <alignment vertical="center"/>
    </xf>
    <xf numFmtId="177" fontId="0" fillId="0" borderId="9" xfId="0" applyNumberForma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177" fontId="0" fillId="0" borderId="8" xfId="0" applyNumberFormat="1" applyBorder="1">
      <alignment vertical="center"/>
    </xf>
    <xf numFmtId="0" fontId="0" fillId="0" borderId="9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Sheet1!$N$3</c:f>
              <c:strCache>
                <c:ptCount val="1"/>
                <c:pt idx="0">
                  <c:v>ダイオード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Sheet1!$N$5:$N$17</c:f>
              <c:numCache>
                <c:formatCode>0.00</c:formatCode>
                <c:ptCount val="13"/>
                <c:pt idx="0" formatCode="0">
                  <c:v>0</c:v>
                </c:pt>
                <c:pt idx="1">
                  <c:v>0.5</c:v>
                </c:pt>
                <c:pt idx="2">
                  <c:v>0.6</c:v>
                </c:pt>
                <c:pt idx="3">
                  <c:v>0.7</c:v>
                </c:pt>
                <c:pt idx="4">
                  <c:v>0.8</c:v>
                </c:pt>
                <c:pt idx="5">
                  <c:v>0.9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</c:numCache>
            </c:numRef>
          </c:xVal>
          <c:yVal>
            <c:numRef>
              <c:f>Sheet1!$O$5:$O$17</c:f>
              <c:numCache>
                <c:formatCode>General</c:formatCode>
                <c:ptCount val="13"/>
                <c:pt idx="0">
                  <c:v>-2.1000000000000001E-4</c:v>
                </c:pt>
                <c:pt idx="1">
                  <c:v>2.9817E-2</c:v>
                </c:pt>
                <c:pt idx="2">
                  <c:v>0.10016600000000001</c:v>
                </c:pt>
                <c:pt idx="3">
                  <c:v>0.16958000000000001</c:v>
                </c:pt>
                <c:pt idx="4">
                  <c:v>0.25685999999999998</c:v>
                </c:pt>
                <c:pt idx="5">
                  <c:v>0.33256000000000002</c:v>
                </c:pt>
                <c:pt idx="6">
                  <c:v>0.41086</c:v>
                </c:pt>
                <c:pt idx="7">
                  <c:v>0.89876</c:v>
                </c:pt>
                <c:pt idx="8">
                  <c:v>1.3627</c:v>
                </c:pt>
                <c:pt idx="9">
                  <c:v>1.8628</c:v>
                </c:pt>
                <c:pt idx="10">
                  <c:v>2.3426999999999998</c:v>
                </c:pt>
                <c:pt idx="11">
                  <c:v>2.8498999999999999</c:v>
                </c:pt>
                <c:pt idx="12">
                  <c:v>3.3277000000000001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F0-46C0-91C3-FD6E50DBE0DC}"/>
            </c:ext>
          </c:extLst>
        </c:ser>
        <c:ser>
          <c:idx val="1"/>
          <c:order val="1"/>
          <c:tx>
            <c:strRef>
              <c:f>Sheet1!$B$2</c:f>
              <c:strCache>
                <c:ptCount val="1"/>
                <c:pt idx="0">
                  <c:v>赤色LED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3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3BF0-46C0-91C3-FD6E50DBE0DC}"/>
              </c:ext>
            </c:extLst>
          </c:dPt>
          <c:xVal>
            <c:numRef>
              <c:f>Sheet1!$B$4:$B$17</c:f>
              <c:numCache>
                <c:formatCode>0.00</c:formatCode>
                <c:ptCount val="14"/>
                <c:pt idx="0" formatCode="General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0">
                  <c:v>2.5</c:v>
                </c:pt>
                <c:pt idx="11">
                  <c:v>3</c:v>
                </c:pt>
                <c:pt idx="12">
                  <c:v>3.5</c:v>
                </c:pt>
                <c:pt idx="13">
                  <c:v>4</c:v>
                </c:pt>
              </c:numCache>
            </c:numRef>
          </c:xVal>
          <c:yVal>
            <c:numRef>
              <c:f>Sheet1!$C$4:$C$17</c:f>
              <c:numCache>
                <c:formatCode>General</c:formatCode>
                <c:ptCount val="14"/>
                <c:pt idx="0">
                  <c:v>-1.4E-5</c:v>
                </c:pt>
                <c:pt idx="1">
                  <c:v>-1.2999999999999999E-5</c:v>
                </c:pt>
                <c:pt idx="2">
                  <c:v>-1.5999999999999999E-5</c:v>
                </c:pt>
                <c:pt idx="3">
                  <c:v>1.9000000000000001E-5</c:v>
                </c:pt>
                <c:pt idx="4">
                  <c:v>1.4200000000000001E-4</c:v>
                </c:pt>
                <c:pt idx="5">
                  <c:v>1.4270000000000001E-3</c:v>
                </c:pt>
                <c:pt idx="6">
                  <c:v>1.4007E-2</c:v>
                </c:pt>
                <c:pt idx="7">
                  <c:v>4.5657999999999997E-2</c:v>
                </c:pt>
                <c:pt idx="8" formatCode="0.000000">
                  <c:v>0.12328</c:v>
                </c:pt>
                <c:pt idx="9" formatCode="0.000000">
                  <c:v>0.2084</c:v>
                </c:pt>
                <c:pt idx="10" formatCode="0.000000">
                  <c:v>0.67091000000000001</c:v>
                </c:pt>
                <c:pt idx="11" formatCode="0.000000">
                  <c:v>1.13117</c:v>
                </c:pt>
                <c:pt idx="12" formatCode="0.000000">
                  <c:v>1.6155999999999999</c:v>
                </c:pt>
                <c:pt idx="13" formatCode="0.000000">
                  <c:v>2.1002000000000001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BF0-46C0-91C3-FD6E50DBE0DC}"/>
            </c:ext>
          </c:extLst>
        </c:ser>
        <c:ser>
          <c:idx val="2"/>
          <c:order val="2"/>
          <c:tx>
            <c:strRef>
              <c:f>Sheet1!$F$2</c:f>
              <c:strCache>
                <c:ptCount val="1"/>
                <c:pt idx="0">
                  <c:v>白色LED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Sheet1!$F$4:$F$19</c:f>
              <c:numCache>
                <c:formatCode>0.00</c:formatCode>
                <c:ptCount val="16"/>
                <c:pt idx="0" formatCode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2.2000000000000002</c:v>
                </c:pt>
                <c:pt idx="6">
                  <c:v>2.2999999999999998</c:v>
                </c:pt>
                <c:pt idx="7">
                  <c:v>2.4</c:v>
                </c:pt>
                <c:pt idx="8">
                  <c:v>2.5</c:v>
                </c:pt>
                <c:pt idx="9">
                  <c:v>2.6</c:v>
                </c:pt>
                <c:pt idx="10">
                  <c:v>2.7</c:v>
                </c:pt>
                <c:pt idx="11">
                  <c:v>2.8</c:v>
                </c:pt>
                <c:pt idx="12">
                  <c:v>2.9</c:v>
                </c:pt>
                <c:pt idx="13">
                  <c:v>3</c:v>
                </c:pt>
                <c:pt idx="14">
                  <c:v>3.5</c:v>
                </c:pt>
                <c:pt idx="15">
                  <c:v>4</c:v>
                </c:pt>
              </c:numCache>
            </c:numRef>
          </c:xVal>
          <c:yVal>
            <c:numRef>
              <c:f>Sheet1!$G$4:$G$19</c:f>
              <c:numCache>
                <c:formatCode>0.000000</c:formatCode>
                <c:ptCount val="16"/>
                <c:pt idx="0" formatCode="General">
                  <c:v>-3.1000000000000001E-5</c:v>
                </c:pt>
                <c:pt idx="1">
                  <c:v>-2.0000000000000002E-5</c:v>
                </c:pt>
                <c:pt idx="2" formatCode="General">
                  <c:v>-1.8E-5</c:v>
                </c:pt>
                <c:pt idx="3" formatCode="General">
                  <c:v>-2.0999999999999999E-5</c:v>
                </c:pt>
                <c:pt idx="4" formatCode="General">
                  <c:v>-1.8E-5</c:v>
                </c:pt>
                <c:pt idx="5" formatCode="General">
                  <c:v>1.2E-5</c:v>
                </c:pt>
                <c:pt idx="6" formatCode="General">
                  <c:v>2.9799999999999998E-4</c:v>
                </c:pt>
                <c:pt idx="7">
                  <c:v>6.8580000000000004E-3</c:v>
                </c:pt>
                <c:pt idx="8" formatCode="General">
                  <c:v>5.3837999999999997E-2</c:v>
                </c:pt>
                <c:pt idx="9" formatCode="General">
                  <c:v>0.101769</c:v>
                </c:pt>
                <c:pt idx="10">
                  <c:v>0.16378999999999999</c:v>
                </c:pt>
                <c:pt idx="11">
                  <c:v>0.25367000000000001</c:v>
                </c:pt>
                <c:pt idx="12">
                  <c:v>0.36458000000000002</c:v>
                </c:pt>
                <c:pt idx="13">
                  <c:v>0.43184</c:v>
                </c:pt>
                <c:pt idx="14">
                  <c:v>0.90478000000000003</c:v>
                </c:pt>
                <c:pt idx="15">
                  <c:v>1.3811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BF0-46C0-91C3-FD6E50DBE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636144"/>
        <c:axId val="1807646224"/>
      </c:scatterChart>
      <c:valAx>
        <c:axId val="180763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Vin</a:t>
                </a:r>
                <a:r>
                  <a:rPr lang="ja-JP" altLang="en-US"/>
                  <a:t>（</a:t>
                </a:r>
                <a:r>
                  <a:rPr lang="en-US" altLang="ja-JP"/>
                  <a:t>V</a:t>
                </a:r>
                <a:r>
                  <a:rPr lang="ja-JP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7646224"/>
        <c:crosses val="autoZero"/>
        <c:crossBetween val="midCat"/>
        <c:majorUnit val="1"/>
      </c:valAx>
      <c:valAx>
        <c:axId val="180764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Vout</a:t>
                </a:r>
                <a:r>
                  <a:rPr lang="ja-JP" altLang="en-US"/>
                  <a:t>（</a:t>
                </a:r>
                <a:r>
                  <a:rPr lang="en-US" altLang="ja-JP"/>
                  <a:t>V</a:t>
                </a:r>
                <a:r>
                  <a:rPr lang="ja-JP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7636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Sheet1!$N$3</c:f>
              <c:strCache>
                <c:ptCount val="1"/>
                <c:pt idx="0">
                  <c:v>ダイオード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Sheet1!$N$5:$N$17</c:f>
              <c:numCache>
                <c:formatCode>0.00</c:formatCode>
                <c:ptCount val="13"/>
                <c:pt idx="0" formatCode="0">
                  <c:v>0</c:v>
                </c:pt>
                <c:pt idx="1">
                  <c:v>0.5</c:v>
                </c:pt>
                <c:pt idx="2">
                  <c:v>0.6</c:v>
                </c:pt>
                <c:pt idx="3">
                  <c:v>0.7</c:v>
                </c:pt>
                <c:pt idx="4">
                  <c:v>0.8</c:v>
                </c:pt>
                <c:pt idx="5">
                  <c:v>0.9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</c:numCache>
            </c:numRef>
          </c:xVal>
          <c:yVal>
            <c:numRef>
              <c:f>Sheet1!$P$5:$P$17</c:f>
              <c:numCache>
                <c:formatCode>0.000000</c:formatCode>
                <c:ptCount val="13"/>
                <c:pt idx="0">
                  <c:v>-4.4680851063829789E-7</c:v>
                </c:pt>
                <c:pt idx="1">
                  <c:v>6.3440425531914897E-5</c:v>
                </c:pt>
                <c:pt idx="2">
                  <c:v>2.1311914893617023E-4</c:v>
                </c:pt>
                <c:pt idx="3">
                  <c:v>3.6080851063829787E-4</c:v>
                </c:pt>
                <c:pt idx="4">
                  <c:v>5.4651063829787229E-4</c:v>
                </c:pt>
                <c:pt idx="5">
                  <c:v>7.0757446808510647E-4</c:v>
                </c:pt>
                <c:pt idx="6">
                  <c:v>8.7417021276595748E-4</c:v>
                </c:pt>
                <c:pt idx="7">
                  <c:v>1.9122553191489361E-3</c:v>
                </c:pt>
                <c:pt idx="8">
                  <c:v>2.8993617021276594E-3</c:v>
                </c:pt>
                <c:pt idx="9">
                  <c:v>3.9634042553191489E-3</c:v>
                </c:pt>
                <c:pt idx="10">
                  <c:v>4.9844680851063826E-3</c:v>
                </c:pt>
                <c:pt idx="11">
                  <c:v>6.0636170212765954E-3</c:v>
                </c:pt>
                <c:pt idx="12">
                  <c:v>7.0802127659574474E-3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C7-4CCE-A73F-B6C646B4FC35}"/>
            </c:ext>
          </c:extLst>
        </c:ser>
        <c:ser>
          <c:idx val="1"/>
          <c:order val="1"/>
          <c:tx>
            <c:strRef>
              <c:f>Sheet1!$B$2</c:f>
              <c:strCache>
                <c:ptCount val="1"/>
                <c:pt idx="0">
                  <c:v>赤色LED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Sheet1!$B$4:$B$17</c:f>
              <c:numCache>
                <c:formatCode>0.00</c:formatCode>
                <c:ptCount val="14"/>
                <c:pt idx="0" formatCode="General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0">
                  <c:v>2.5</c:v>
                </c:pt>
                <c:pt idx="11">
                  <c:v>3</c:v>
                </c:pt>
                <c:pt idx="12">
                  <c:v>3.5</c:v>
                </c:pt>
                <c:pt idx="13">
                  <c:v>4</c:v>
                </c:pt>
              </c:numCache>
            </c:numRef>
          </c:xVal>
          <c:yVal>
            <c:numRef>
              <c:f>Sheet1!$D$4:$D$17</c:f>
              <c:numCache>
                <c:formatCode>General</c:formatCode>
                <c:ptCount val="14"/>
                <c:pt idx="0">
                  <c:v>-2.9787234042553191E-8</c:v>
                </c:pt>
                <c:pt idx="1">
                  <c:v>-2.7659574468085105E-8</c:v>
                </c:pt>
                <c:pt idx="2">
                  <c:v>-3.4042553191489363E-8</c:v>
                </c:pt>
                <c:pt idx="3">
                  <c:v>4.0425531914893621E-8</c:v>
                </c:pt>
                <c:pt idx="4">
                  <c:v>3.0212765957446812E-7</c:v>
                </c:pt>
                <c:pt idx="5">
                  <c:v>3.0361702127659577E-6</c:v>
                </c:pt>
                <c:pt idx="6">
                  <c:v>2.9802127659574467E-5</c:v>
                </c:pt>
                <c:pt idx="7">
                  <c:v>9.7144680851063818E-5</c:v>
                </c:pt>
                <c:pt idx="8">
                  <c:v>2.6229787234042552E-4</c:v>
                </c:pt>
                <c:pt idx="9">
                  <c:v>4.4340425531914896E-4</c:v>
                </c:pt>
                <c:pt idx="10">
                  <c:v>1.427468085106383E-3</c:v>
                </c:pt>
                <c:pt idx="11">
                  <c:v>2.4067446808510641E-3</c:v>
                </c:pt>
                <c:pt idx="12">
                  <c:v>3.437446808510638E-3</c:v>
                </c:pt>
                <c:pt idx="13">
                  <c:v>4.4685106382978722E-3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C7-4CCE-A73F-B6C646B4FC35}"/>
            </c:ext>
          </c:extLst>
        </c:ser>
        <c:ser>
          <c:idx val="2"/>
          <c:order val="2"/>
          <c:tx>
            <c:strRef>
              <c:f>Sheet1!$F$2</c:f>
              <c:strCache>
                <c:ptCount val="1"/>
                <c:pt idx="0">
                  <c:v>白色LED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Sheet1!$F$4:$F$19</c:f>
              <c:numCache>
                <c:formatCode>0.00</c:formatCode>
                <c:ptCount val="16"/>
                <c:pt idx="0" formatCode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2.2000000000000002</c:v>
                </c:pt>
                <c:pt idx="6">
                  <c:v>2.2999999999999998</c:v>
                </c:pt>
                <c:pt idx="7">
                  <c:v>2.4</c:v>
                </c:pt>
                <c:pt idx="8">
                  <c:v>2.5</c:v>
                </c:pt>
                <c:pt idx="9">
                  <c:v>2.6</c:v>
                </c:pt>
                <c:pt idx="10">
                  <c:v>2.7</c:v>
                </c:pt>
                <c:pt idx="11">
                  <c:v>2.8</c:v>
                </c:pt>
                <c:pt idx="12">
                  <c:v>2.9</c:v>
                </c:pt>
                <c:pt idx="13">
                  <c:v>3</c:v>
                </c:pt>
                <c:pt idx="14">
                  <c:v>3.5</c:v>
                </c:pt>
                <c:pt idx="15">
                  <c:v>4</c:v>
                </c:pt>
              </c:numCache>
            </c:numRef>
          </c:xVal>
          <c:yVal>
            <c:numRef>
              <c:f>Sheet1!$H$4:$H$19</c:f>
              <c:numCache>
                <c:formatCode>General</c:formatCode>
                <c:ptCount val="16"/>
                <c:pt idx="0">
                  <c:v>-6.5957446808510646E-8</c:v>
                </c:pt>
                <c:pt idx="1">
                  <c:v>-4.2553191489361707E-8</c:v>
                </c:pt>
                <c:pt idx="2">
                  <c:v>-3.8297872340425535E-8</c:v>
                </c:pt>
                <c:pt idx="3">
                  <c:v>-4.4680851063829786E-8</c:v>
                </c:pt>
                <c:pt idx="4">
                  <c:v>-3.8297872340425535E-8</c:v>
                </c:pt>
                <c:pt idx="5">
                  <c:v>2.5531914893617022E-8</c:v>
                </c:pt>
                <c:pt idx="6">
                  <c:v>6.3404255319148935E-7</c:v>
                </c:pt>
                <c:pt idx="7">
                  <c:v>1.4591489361702129E-5</c:v>
                </c:pt>
                <c:pt idx="8">
                  <c:v>1.1454893617021276E-4</c:v>
                </c:pt>
                <c:pt idx="9">
                  <c:v>2.1652978723404255E-4</c:v>
                </c:pt>
                <c:pt idx="10">
                  <c:v>3.4848936170212762E-4</c:v>
                </c:pt>
                <c:pt idx="11">
                  <c:v>5.397234042553192E-4</c:v>
                </c:pt>
                <c:pt idx="12">
                  <c:v>7.757021276595745E-4</c:v>
                </c:pt>
                <c:pt idx="13">
                  <c:v>9.1880851063829783E-4</c:v>
                </c:pt>
                <c:pt idx="14">
                  <c:v>1.925063829787234E-3</c:v>
                </c:pt>
                <c:pt idx="15">
                  <c:v>2.9385106382978725E-3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3C7-4CCE-A73F-B6C646B4F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2401360"/>
        <c:axId val="1802407120"/>
      </c:scatterChart>
      <c:valAx>
        <c:axId val="180240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電圧（</a:t>
                </a:r>
                <a:r>
                  <a:rPr lang="en-US" altLang="ja-JP"/>
                  <a:t>V</a:t>
                </a:r>
                <a:r>
                  <a:rPr lang="ja-JP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2407120"/>
        <c:crosses val="autoZero"/>
        <c:crossBetween val="midCat"/>
        <c:majorUnit val="1"/>
        <c:minorUnit val="0.1"/>
      </c:valAx>
      <c:valAx>
        <c:axId val="180240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電流（</a:t>
                </a:r>
                <a:r>
                  <a:rPr lang="en-US" altLang="ja-JP"/>
                  <a:t>A</a:t>
                </a:r>
                <a:r>
                  <a:rPr lang="ja-JP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2401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581025</xdr:colOff>
      <xdr:row>19</xdr:row>
      <xdr:rowOff>133350</xdr:rowOff>
    </xdr:from>
    <xdr:to>
      <xdr:col>19</xdr:col>
      <xdr:colOff>276225</xdr:colOff>
      <xdr:row>32</xdr:row>
      <xdr:rowOff>152400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D550886-82DF-2DE0-28BB-7222D0D87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550384</xdr:colOff>
      <xdr:row>20</xdr:row>
      <xdr:rowOff>99181</xdr:rowOff>
    </xdr:from>
    <xdr:to>
      <xdr:col>10</xdr:col>
      <xdr:colOff>1000024</xdr:colOff>
      <xdr:row>33</xdr:row>
      <xdr:rowOff>118231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37C00F5-7C99-74E2-C9FA-80A861D6F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0.17372</cdr:x>
      <cdr:y>0.15693</cdr:y>
    </cdr:from>
    <cdr:to>
      <cdr:x>0.33369</cdr:x>
      <cdr:y>0.37905</cdr:y>
    </cdr:to>
    <cdr:sp macro="" textlink="">
      <cdr:nvSpPr>
        <cdr:cNvPr id="3" name="テキスト ボックス 2">
          <a:extLst xmlns:a="http://schemas.openxmlformats.org/drawingml/2006/main">
            <a:ext uri="{FF2B5EF4-FFF2-40B4-BE49-F238E27FC236}">
              <a16:creationId xmlns:a16="http://schemas.microsoft.com/office/drawing/2014/main" id="{E101D769-5937-3014-6E9B-83ACF47FE50E}"/>
            </a:ext>
          </a:extLst>
        </cdr:cNvPr>
        <cdr:cNvSpPr txBox="1"/>
      </cdr:nvSpPr>
      <cdr:spPr>
        <a:xfrm xmlns:a="http://schemas.openxmlformats.org/drawingml/2006/main">
          <a:off x="941362" y="445104"/>
          <a:ext cx="866826" cy="6299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ja-JP" altLang="en-US" sz="800"/>
            <a:t>汎用整流用ダイオードの立ち上がり電圧</a:t>
          </a:r>
        </a:p>
      </cdr:txBody>
    </cdr:sp>
  </cdr:relSizeAnchor>
  <cdr:relSizeAnchor xmlns:cdr="http://schemas.openxmlformats.org/drawingml/2006/chartDrawing">
    <cdr:from>
      <cdr:x>0.23418</cdr:x>
      <cdr:y>0.35417</cdr:y>
    </cdr:from>
    <cdr:to>
      <cdr:x>0.24813</cdr:x>
      <cdr:y>0.6598</cdr:y>
    </cdr:to>
    <cdr:cxnSp macro="">
      <cdr:nvCxnSpPr>
        <cdr:cNvPr id="5" name="直線矢印コネクタ 4">
          <a:extLst xmlns:a="http://schemas.openxmlformats.org/drawingml/2006/main">
            <a:ext uri="{FF2B5EF4-FFF2-40B4-BE49-F238E27FC236}">
              <a16:creationId xmlns:a16="http://schemas.microsoft.com/office/drawing/2014/main" id="{D0E44275-0E84-45A3-B264-60377C4FB284}"/>
            </a:ext>
          </a:extLst>
        </cdr:cNvPr>
        <cdr:cNvCxnSpPr/>
      </cdr:nvCxnSpPr>
      <cdr:spPr>
        <a:xfrm xmlns:a="http://schemas.openxmlformats.org/drawingml/2006/main">
          <a:off x="1268942" y="1004510"/>
          <a:ext cx="75595" cy="86682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0.54973</cdr:x>
      <cdr:y>0.26</cdr:y>
    </cdr:from>
    <cdr:to>
      <cdr:x>0.56992</cdr:x>
      <cdr:y>0.66115</cdr:y>
    </cdr:to>
    <cdr:cxnSp macro="">
      <cdr:nvCxnSpPr>
        <cdr:cNvPr id="7" name="直線矢印コネクタ 6">
          <a:extLst xmlns:a="http://schemas.openxmlformats.org/drawingml/2006/main">
            <a:ext uri="{FF2B5EF4-FFF2-40B4-BE49-F238E27FC236}">
              <a16:creationId xmlns:a16="http://schemas.microsoft.com/office/drawing/2014/main" id="{EA8D1C2D-517C-BA4E-ED53-F1D8B26B062B}"/>
            </a:ext>
          </a:extLst>
        </cdr:cNvPr>
        <cdr:cNvCxnSpPr/>
      </cdr:nvCxnSpPr>
      <cdr:spPr>
        <a:xfrm xmlns:a="http://schemas.openxmlformats.org/drawingml/2006/main" flipH="1">
          <a:off x="2978856" y="737407"/>
          <a:ext cx="109411" cy="113775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0.42669</cdr:x>
      <cdr:y>0.25289</cdr:y>
    </cdr:from>
    <cdr:to>
      <cdr:x>0.43254</cdr:x>
      <cdr:y>0.67181</cdr:y>
    </cdr:to>
    <cdr:cxnSp macro="">
      <cdr:nvCxnSpPr>
        <cdr:cNvPr id="8" name="直線矢印コネクタ 7">
          <a:extLst xmlns:a="http://schemas.openxmlformats.org/drawingml/2006/main">
            <a:ext uri="{FF2B5EF4-FFF2-40B4-BE49-F238E27FC236}">
              <a16:creationId xmlns:a16="http://schemas.microsoft.com/office/drawing/2014/main" id="{EA8D1C2D-517C-BA4E-ED53-F1D8B26B062B}"/>
            </a:ext>
          </a:extLst>
        </cdr:cNvPr>
        <cdr:cNvCxnSpPr/>
      </cdr:nvCxnSpPr>
      <cdr:spPr>
        <a:xfrm xmlns:a="http://schemas.openxmlformats.org/drawingml/2006/main">
          <a:off x="2312156" y="717248"/>
          <a:ext cx="31699" cy="118815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0.34884</cdr:x>
      <cdr:y>0.10853</cdr:y>
    </cdr:from>
    <cdr:to>
      <cdr:x>0.50203</cdr:x>
      <cdr:y>0.30975</cdr:y>
    </cdr:to>
    <cdr:sp macro="" textlink="">
      <cdr:nvSpPr>
        <cdr:cNvPr id="17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B71CDDE6-9CEA-2B6D-CFB4-0F5AB22B55FB}"/>
            </a:ext>
          </a:extLst>
        </cdr:cNvPr>
        <cdr:cNvSpPr txBox="1"/>
      </cdr:nvSpPr>
      <cdr:spPr>
        <a:xfrm xmlns:a="http://schemas.openxmlformats.org/drawingml/2006/main">
          <a:off x="1890284" y="307824"/>
          <a:ext cx="830085" cy="5706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ja-JP" altLang="en-US" sz="800"/>
            <a:t>白色</a:t>
          </a:r>
          <a:r>
            <a:rPr lang="en-US" altLang="ja-JP" sz="800"/>
            <a:t>LED</a:t>
          </a:r>
          <a:r>
            <a:rPr lang="ja-JP" altLang="en-US" sz="800"/>
            <a:t>の立ち上がり電圧</a:t>
          </a:r>
        </a:p>
      </cdr:txBody>
    </cdr:sp>
  </cdr:relSizeAnchor>
  <cdr:relSizeAnchor xmlns:cdr="http://schemas.openxmlformats.org/drawingml/2006/chartDrawing">
    <cdr:from>
      <cdr:x>0.51346</cdr:x>
      <cdr:y>0.10142</cdr:y>
    </cdr:from>
    <cdr:to>
      <cdr:x>0.65827</cdr:x>
      <cdr:y>0.28487</cdr:y>
    </cdr:to>
    <cdr:sp macro="" textlink="">
      <cdr:nvSpPr>
        <cdr:cNvPr id="18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B71CDDE6-9CEA-2B6D-CFB4-0F5AB22B55FB}"/>
            </a:ext>
          </a:extLst>
        </cdr:cNvPr>
        <cdr:cNvSpPr txBox="1"/>
      </cdr:nvSpPr>
      <cdr:spPr>
        <a:xfrm xmlns:a="http://schemas.openxmlformats.org/drawingml/2006/main">
          <a:off x="2782308" y="287663"/>
          <a:ext cx="784729" cy="5202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ja-JP" altLang="en-US" sz="800"/>
            <a:t>赤色</a:t>
          </a:r>
          <a:r>
            <a:rPr lang="en-US" altLang="ja-JP" sz="800"/>
            <a:t>LED</a:t>
          </a:r>
          <a:r>
            <a:rPr lang="ja-JP" altLang="en-US" sz="800"/>
            <a:t>の立ち上がり電圧</a:t>
          </a:r>
        </a:p>
      </cdr:txBody>
    </cdr:sp>
  </cdr:relSizeAnchor>
</c:userShape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D1BA5-6C31-4555-9B76-9CC1D2ACBC97}">
  <dimension ref="B1:S19"/>
  <sheetViews>
    <sheetView tabSelected="1" topLeftCell="M1" zoomScale="125" zoomScaleNormal="200" workbookViewId="0">
      <selection activeCell="U3" sqref="U3"/>
    </sheetView>
  </sheetViews>
  <sheetFormatPr baseColWidth="10" defaultColWidth="8.83203125" defaultRowHeight="17"/>
  <cols>
    <col min="1" max="1" width="9.6640625" bestFit="1" customWidth="1"/>
    <col min="2" max="2" width="10.33203125" bestFit="1" customWidth="1"/>
    <col min="3" max="3" width="10.1640625" customWidth="1"/>
    <col min="4" max="4" width="14" bestFit="1" customWidth="1"/>
    <col min="5" max="5" width="8.5" customWidth="1"/>
    <col min="6" max="6" width="10.33203125" bestFit="1" customWidth="1"/>
    <col min="7" max="7" width="13.83203125" bestFit="1" customWidth="1"/>
    <col min="8" max="8" width="14" bestFit="1" customWidth="1"/>
    <col min="9" max="9" width="9.6640625" bestFit="1" customWidth="1"/>
    <col min="11" max="11" width="14.6640625" customWidth="1"/>
    <col min="14" max="15" width="9" bestFit="1" customWidth="1"/>
    <col min="16" max="16" width="9.5" bestFit="1" customWidth="1"/>
    <col min="17" max="18" width="9" bestFit="1" customWidth="1"/>
    <col min="19" max="19" width="9.83203125" bestFit="1" customWidth="1"/>
  </cols>
  <sheetData>
    <row r="1" spans="2:19" ht="18" thickBot="1">
      <c r="Q1" t="s">
        <v>2</v>
      </c>
    </row>
    <row r="2" spans="2:19" ht="18" thickBot="1">
      <c r="B2" s="18" t="s">
        <v>0</v>
      </c>
      <c r="C2" s="19"/>
      <c r="D2" s="20"/>
      <c r="F2" s="21" t="s">
        <v>1</v>
      </c>
      <c r="G2" s="22"/>
      <c r="H2" s="23"/>
      <c r="Q2" t="s">
        <v>6</v>
      </c>
      <c r="R2" t="s">
        <v>7</v>
      </c>
      <c r="S2" t="s">
        <v>8</v>
      </c>
    </row>
    <row r="3" spans="2:19">
      <c r="B3" s="6" t="s">
        <v>3</v>
      </c>
      <c r="C3" s="3" t="s">
        <v>4</v>
      </c>
      <c r="D3" s="7" t="s">
        <v>5</v>
      </c>
      <c r="F3" s="6" t="s">
        <v>3</v>
      </c>
      <c r="G3" s="3" t="s">
        <v>4</v>
      </c>
      <c r="H3" s="7" t="s">
        <v>5</v>
      </c>
      <c r="N3" s="18" t="s">
        <v>2</v>
      </c>
      <c r="O3" s="19"/>
      <c r="P3" s="20"/>
      <c r="Q3">
        <v>0</v>
      </c>
      <c r="R3">
        <v>-2.1000000000000001E-4</v>
      </c>
      <c r="S3" s="2">
        <f>R3/470</f>
        <v>-4.4680851063829789E-7</v>
      </c>
    </row>
    <row r="4" spans="2:19">
      <c r="B4" s="14">
        <v>0</v>
      </c>
      <c r="C4" s="4">
        <v>-1.4E-5</v>
      </c>
      <c r="D4" s="15">
        <f>C4/470</f>
        <v>-2.9787234042553191E-8</v>
      </c>
      <c r="F4" s="8">
        <v>0</v>
      </c>
      <c r="G4" s="4">
        <v>-3.1000000000000001E-5</v>
      </c>
      <c r="H4" s="15">
        <f>G4/470</f>
        <v>-6.5957446808510646E-8</v>
      </c>
      <c r="N4" s="6" t="s">
        <v>6</v>
      </c>
      <c r="O4" s="3" t="s">
        <v>4</v>
      </c>
      <c r="P4" s="7" t="s">
        <v>5</v>
      </c>
      <c r="Q4">
        <v>0.2</v>
      </c>
      <c r="R4">
        <v>-5.0000000000000004E-6</v>
      </c>
      <c r="S4" s="2">
        <f t="shared" ref="S4:S18" si="0">R4/470</f>
        <v>-1.0638297872340427E-8</v>
      </c>
    </row>
    <row r="5" spans="2:19">
      <c r="B5" s="10">
        <v>0.5</v>
      </c>
      <c r="C5" s="4">
        <v>-1.2999999999999999E-5</v>
      </c>
      <c r="D5" s="15">
        <f t="shared" ref="D5:D15" si="1">C5/470</f>
        <v>-2.7659574468085105E-8</v>
      </c>
      <c r="F5" s="10">
        <v>0.5</v>
      </c>
      <c r="G5" s="5">
        <v>-2.0000000000000002E-5</v>
      </c>
      <c r="H5" s="15">
        <f>G5/470</f>
        <v>-4.2553191489361707E-8</v>
      </c>
      <c r="N5" s="8">
        <v>0</v>
      </c>
      <c r="O5" s="4">
        <v>-2.1000000000000001E-4</v>
      </c>
      <c r="P5" s="9">
        <f>O5/470</f>
        <v>-4.4680851063829789E-7</v>
      </c>
      <c r="Q5">
        <v>0.3</v>
      </c>
      <c r="R5">
        <v>4.0299999999999998E-4</v>
      </c>
      <c r="S5" s="2">
        <f t="shared" si="0"/>
        <v>8.5744680851063827E-7</v>
      </c>
    </row>
    <row r="6" spans="2:19">
      <c r="B6" s="10">
        <v>1</v>
      </c>
      <c r="C6" s="4">
        <v>-1.5999999999999999E-5</v>
      </c>
      <c r="D6" s="15">
        <f t="shared" si="1"/>
        <v>-3.4042553191489363E-8</v>
      </c>
      <c r="F6" s="10">
        <v>1</v>
      </c>
      <c r="G6" s="4">
        <v>-1.8E-5</v>
      </c>
      <c r="H6" s="15">
        <f>G6/470</f>
        <v>-3.8297872340425535E-8</v>
      </c>
      <c r="N6" s="10">
        <v>0.5</v>
      </c>
      <c r="O6" s="4">
        <v>2.9817E-2</v>
      </c>
      <c r="P6" s="9">
        <f t="shared" ref="P6:P17" si="2">O6/470</f>
        <v>6.3440425531914897E-5</v>
      </c>
      <c r="Q6">
        <v>0.4</v>
      </c>
      <c r="R6">
        <v>3.954E-3</v>
      </c>
      <c r="S6" s="2">
        <f t="shared" si="0"/>
        <v>8.4127659574468084E-6</v>
      </c>
    </row>
    <row r="7" spans="2:19">
      <c r="B7" s="10">
        <v>1.4</v>
      </c>
      <c r="C7" s="4">
        <v>1.9000000000000001E-5</v>
      </c>
      <c r="D7" s="15">
        <f t="shared" si="1"/>
        <v>4.0425531914893621E-8</v>
      </c>
      <c r="F7" s="10">
        <v>1.5</v>
      </c>
      <c r="G7" s="4">
        <v>-2.0999999999999999E-5</v>
      </c>
      <c r="H7" s="15">
        <f>G7/470</f>
        <v>-4.4680851063829786E-8</v>
      </c>
      <c r="N7" s="10">
        <v>0.6</v>
      </c>
      <c r="O7" s="4">
        <v>0.10016600000000001</v>
      </c>
      <c r="P7" s="9">
        <f t="shared" si="2"/>
        <v>2.1311914893617023E-4</v>
      </c>
      <c r="Q7">
        <v>0.5</v>
      </c>
      <c r="R7">
        <v>2.9817E-2</v>
      </c>
      <c r="S7" s="2">
        <f t="shared" si="0"/>
        <v>6.3440425531914897E-5</v>
      </c>
    </row>
    <row r="8" spans="2:19">
      <c r="B8" s="10">
        <v>1.5</v>
      </c>
      <c r="C8" s="4">
        <v>1.4200000000000001E-4</v>
      </c>
      <c r="D8" s="15">
        <f t="shared" si="1"/>
        <v>3.0212765957446812E-7</v>
      </c>
      <c r="F8" s="10">
        <v>2</v>
      </c>
      <c r="G8" s="4">
        <v>-1.8E-5</v>
      </c>
      <c r="H8" s="15">
        <f>G8/470</f>
        <v>-3.8297872340425535E-8</v>
      </c>
      <c r="N8" s="10">
        <v>0.7</v>
      </c>
      <c r="O8" s="4">
        <v>0.16958000000000001</v>
      </c>
      <c r="P8" s="9">
        <f t="shared" si="2"/>
        <v>3.6080851063829787E-4</v>
      </c>
      <c r="Q8">
        <v>0.6</v>
      </c>
      <c r="R8">
        <v>0.10016600000000001</v>
      </c>
      <c r="S8" s="2">
        <f t="shared" si="0"/>
        <v>2.1311914893617023E-4</v>
      </c>
    </row>
    <row r="9" spans="2:19">
      <c r="B9" s="10">
        <v>1.6</v>
      </c>
      <c r="C9" s="4">
        <v>1.4270000000000001E-3</v>
      </c>
      <c r="D9" s="15">
        <f t="shared" si="1"/>
        <v>3.0361702127659577E-6</v>
      </c>
      <c r="F9" s="10">
        <v>2.2000000000000002</v>
      </c>
      <c r="G9" s="4">
        <v>1.2E-5</v>
      </c>
      <c r="H9" s="15">
        <f>G9/470</f>
        <v>2.5531914893617022E-8</v>
      </c>
      <c r="N9" s="10">
        <v>0.8</v>
      </c>
      <c r="O9" s="4">
        <v>0.25685999999999998</v>
      </c>
      <c r="P9" s="9">
        <f t="shared" si="2"/>
        <v>5.4651063829787229E-4</v>
      </c>
      <c r="Q9">
        <v>0.7</v>
      </c>
      <c r="R9">
        <v>0.16958000000000001</v>
      </c>
      <c r="S9" s="2">
        <f t="shared" si="0"/>
        <v>3.6080851063829787E-4</v>
      </c>
    </row>
    <row r="10" spans="2:19">
      <c r="B10" s="10">
        <v>1.7</v>
      </c>
      <c r="C10" s="4">
        <v>1.4007E-2</v>
      </c>
      <c r="D10" s="15">
        <f t="shared" si="1"/>
        <v>2.9802127659574467E-5</v>
      </c>
      <c r="F10" s="10">
        <v>2.2999999999999998</v>
      </c>
      <c r="G10" s="4">
        <v>2.9799999999999998E-4</v>
      </c>
      <c r="H10" s="15">
        <f>G10/470</f>
        <v>6.3404255319148935E-7</v>
      </c>
      <c r="N10" s="10">
        <v>0.9</v>
      </c>
      <c r="O10" s="4">
        <v>0.33256000000000002</v>
      </c>
      <c r="P10" s="9">
        <f t="shared" si="2"/>
        <v>7.0757446808510647E-4</v>
      </c>
      <c r="Q10">
        <v>0.8</v>
      </c>
      <c r="R10">
        <v>0.25685999999999998</v>
      </c>
      <c r="S10" s="2">
        <f t="shared" si="0"/>
        <v>5.4651063829787229E-4</v>
      </c>
    </row>
    <row r="11" spans="2:19">
      <c r="B11" s="10">
        <v>1.8</v>
      </c>
      <c r="C11" s="4">
        <v>4.5657999999999997E-2</v>
      </c>
      <c r="D11" s="15">
        <f t="shared" si="1"/>
        <v>9.7144680851063818E-5</v>
      </c>
      <c r="F11" s="10">
        <v>2.4</v>
      </c>
      <c r="G11" s="5">
        <v>6.8580000000000004E-3</v>
      </c>
      <c r="H11" s="15">
        <f>G11/470</f>
        <v>1.4591489361702129E-5</v>
      </c>
      <c r="N11" s="10">
        <v>1</v>
      </c>
      <c r="O11" s="4">
        <v>0.41086</v>
      </c>
      <c r="P11" s="9">
        <f t="shared" si="2"/>
        <v>8.7417021276595748E-4</v>
      </c>
      <c r="Q11">
        <v>0.9</v>
      </c>
      <c r="R11">
        <v>0.33256000000000002</v>
      </c>
      <c r="S11" s="2">
        <f t="shared" si="0"/>
        <v>7.0757446808510647E-4</v>
      </c>
    </row>
    <row r="12" spans="2:19">
      <c r="B12" s="10">
        <v>1.9</v>
      </c>
      <c r="C12" s="5">
        <v>0.12328</v>
      </c>
      <c r="D12" s="15">
        <f t="shared" si="1"/>
        <v>2.6229787234042552E-4</v>
      </c>
      <c r="F12" s="10">
        <v>2.5</v>
      </c>
      <c r="G12" s="4">
        <v>5.3837999999999997E-2</v>
      </c>
      <c r="H12" s="15">
        <f>G12/470</f>
        <v>1.1454893617021276E-4</v>
      </c>
      <c r="N12" s="10">
        <v>1.5</v>
      </c>
      <c r="O12" s="4">
        <v>0.89876</v>
      </c>
      <c r="P12" s="9">
        <f t="shared" si="2"/>
        <v>1.9122553191489361E-3</v>
      </c>
      <c r="Q12" s="1">
        <v>1</v>
      </c>
      <c r="R12">
        <v>0.41086</v>
      </c>
      <c r="S12" s="2">
        <f t="shared" si="0"/>
        <v>8.7417021276595748E-4</v>
      </c>
    </row>
    <row r="13" spans="2:19">
      <c r="B13" s="10">
        <v>2</v>
      </c>
      <c r="C13" s="5">
        <v>0.2084</v>
      </c>
      <c r="D13" s="15">
        <f t="shared" si="1"/>
        <v>4.4340425531914896E-4</v>
      </c>
      <c r="F13" s="10">
        <v>2.6</v>
      </c>
      <c r="G13" s="4">
        <v>0.101769</v>
      </c>
      <c r="H13" s="15">
        <f>G13/470</f>
        <v>2.1652978723404255E-4</v>
      </c>
      <c r="N13" s="10">
        <v>2</v>
      </c>
      <c r="O13" s="4">
        <v>1.3627</v>
      </c>
      <c r="P13" s="9">
        <f t="shared" si="2"/>
        <v>2.8993617021276594E-3</v>
      </c>
      <c r="Q13">
        <v>1.5</v>
      </c>
      <c r="R13">
        <v>0.89876</v>
      </c>
      <c r="S13" s="2">
        <f t="shared" si="0"/>
        <v>1.9122553191489361E-3</v>
      </c>
    </row>
    <row r="14" spans="2:19">
      <c r="B14" s="10">
        <v>2.5</v>
      </c>
      <c r="C14" s="5">
        <v>0.67091000000000001</v>
      </c>
      <c r="D14" s="15">
        <f t="shared" si="1"/>
        <v>1.427468085106383E-3</v>
      </c>
      <c r="F14" s="10">
        <v>2.7</v>
      </c>
      <c r="G14" s="5">
        <v>0.16378999999999999</v>
      </c>
      <c r="H14" s="15">
        <f>G14/470</f>
        <v>3.4848936170212762E-4</v>
      </c>
      <c r="N14" s="10">
        <v>2.5</v>
      </c>
      <c r="O14" s="4">
        <v>1.8628</v>
      </c>
      <c r="P14" s="9">
        <f t="shared" si="2"/>
        <v>3.9634042553191489E-3</v>
      </c>
      <c r="Q14" s="1">
        <v>2</v>
      </c>
      <c r="R14">
        <v>1.3627</v>
      </c>
      <c r="S14" s="2">
        <f t="shared" si="0"/>
        <v>2.8993617021276594E-3</v>
      </c>
    </row>
    <row r="15" spans="2:19">
      <c r="B15" s="10">
        <v>3</v>
      </c>
      <c r="C15" s="5">
        <v>1.13117</v>
      </c>
      <c r="D15" s="15">
        <f t="shared" si="1"/>
        <v>2.4067446808510641E-3</v>
      </c>
      <c r="F15" s="10">
        <v>2.8</v>
      </c>
      <c r="G15" s="5">
        <v>0.25367000000000001</v>
      </c>
      <c r="H15" s="15">
        <f>G15/470</f>
        <v>5.397234042553192E-4</v>
      </c>
      <c r="N15" s="10">
        <v>3</v>
      </c>
      <c r="O15" s="4">
        <v>2.3426999999999998</v>
      </c>
      <c r="P15" s="9">
        <f t="shared" si="2"/>
        <v>4.9844680851063826E-3</v>
      </c>
      <c r="Q15">
        <v>2.5</v>
      </c>
      <c r="R15">
        <v>1.8628</v>
      </c>
      <c r="S15" s="2">
        <f t="shared" si="0"/>
        <v>3.9634042553191489E-3</v>
      </c>
    </row>
    <row r="16" spans="2:19">
      <c r="B16" s="10">
        <v>3.5</v>
      </c>
      <c r="C16" s="5">
        <v>1.6155999999999999</v>
      </c>
      <c r="D16" s="15">
        <f>C16/470</f>
        <v>3.437446808510638E-3</v>
      </c>
      <c r="F16" s="10">
        <v>2.9</v>
      </c>
      <c r="G16" s="5">
        <v>0.36458000000000002</v>
      </c>
      <c r="H16" s="15">
        <f>G16/470</f>
        <v>7.757021276595745E-4</v>
      </c>
      <c r="N16" s="10">
        <v>3.5</v>
      </c>
      <c r="O16" s="4">
        <v>2.8498999999999999</v>
      </c>
      <c r="P16" s="9">
        <f t="shared" si="2"/>
        <v>6.0636170212765954E-3</v>
      </c>
      <c r="Q16" s="1">
        <v>3</v>
      </c>
      <c r="R16">
        <v>2.3426999999999998</v>
      </c>
      <c r="S16" s="2">
        <f t="shared" si="0"/>
        <v>4.9844680851063826E-3</v>
      </c>
    </row>
    <row r="17" spans="2:19" ht="18" thickBot="1">
      <c r="B17" s="11">
        <v>4</v>
      </c>
      <c r="C17" s="16">
        <v>2.1002000000000001</v>
      </c>
      <c r="D17" s="17">
        <f>C17/470</f>
        <v>4.4685106382978722E-3</v>
      </c>
      <c r="F17" s="10">
        <v>3</v>
      </c>
      <c r="G17" s="5">
        <v>0.43184</v>
      </c>
      <c r="H17" s="15">
        <f>G17/470</f>
        <v>9.1880851063829783E-4</v>
      </c>
      <c r="N17" s="11">
        <v>4</v>
      </c>
      <c r="O17" s="12">
        <v>3.3277000000000001</v>
      </c>
      <c r="P17" s="13">
        <f t="shared" si="2"/>
        <v>7.0802127659574474E-3</v>
      </c>
      <c r="Q17">
        <v>3.5</v>
      </c>
      <c r="R17">
        <v>2.8498999999999999</v>
      </c>
      <c r="S17" s="2">
        <f t="shared" si="0"/>
        <v>6.0636170212765954E-3</v>
      </c>
    </row>
    <row r="18" spans="2:19">
      <c r="F18" s="10">
        <v>3.5</v>
      </c>
      <c r="G18" s="5">
        <v>0.90478000000000003</v>
      </c>
      <c r="H18" s="15">
        <f>G18/470</f>
        <v>1.925063829787234E-3</v>
      </c>
      <c r="Q18" s="1">
        <v>4</v>
      </c>
      <c r="R18">
        <v>3.3277000000000001</v>
      </c>
      <c r="S18" s="2">
        <f t="shared" si="0"/>
        <v>7.0802127659574474E-3</v>
      </c>
    </row>
    <row r="19" spans="2:19" ht="18" thickBot="1">
      <c r="F19" s="11">
        <v>4</v>
      </c>
      <c r="G19" s="16">
        <v>1.3811</v>
      </c>
      <c r="H19" s="17">
        <f>G19/470</f>
        <v>2.9385106382978725E-3</v>
      </c>
    </row>
  </sheetData>
  <mergeCells count="3">
    <mergeCell ref="N3:P3"/>
    <mergeCell ref="B2:D2"/>
    <mergeCell ref="F2:H2"/>
  </mergeCells>
  <phoneticPr fontId="1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641C-A0F4-B84B-80DC-B1B2D8906935}">
  <dimension ref="A1"/>
  <sheetViews>
    <sheetView workbookViewId="0"/>
  </sheetViews>
  <sheetFormatPr baseColWidth="10" defaultRowHeight="17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喜多 凜太郎_米子学生</dc:creator>
  <cp:keywords/>
  <dc:description/>
  <cp:lastModifiedBy>來間 空_米子学生</cp:lastModifiedBy>
  <cp:revision/>
  <dcterms:created xsi:type="dcterms:W3CDTF">2024-05-16T02:11:33Z</dcterms:created>
  <dcterms:modified xsi:type="dcterms:W3CDTF">2024-05-26T16:16:34Z</dcterms:modified>
  <cp:category/>
  <cp:contentStatus/>
</cp:coreProperties>
</file>